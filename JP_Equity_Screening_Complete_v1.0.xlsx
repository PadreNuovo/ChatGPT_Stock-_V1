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Universe" sheetId="3" state="visible" r:id="rId3"/>
    <sheet xmlns:r="http://schemas.openxmlformats.org/officeDocument/2006/relationships" name="Fundamentals" sheetId="4" state="visible" r:id="rId4"/>
    <sheet xmlns:r="http://schemas.openxmlformats.org/officeDocument/2006/relationships" name="Derived" sheetId="5" state="visible" r:id="rId5"/>
    <sheet xmlns:r="http://schemas.openxmlformats.org/officeDocument/2006/relationships" name="Scores" sheetId="6" state="visible" r:id="rId6"/>
    <sheet xmlns:r="http://schemas.openxmlformats.org/officeDocument/2006/relationships" name="Report_Top20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Sources" sheetId="9" state="visible" r:id="rId9"/>
  </sheets>
  <definedNames>
    <definedName name="cfg_PBR_max">Config!$B$8</definedName>
    <definedName name="cfg_PBR_floor">Config!$B$9</definedName>
    <definedName name="cfg_NetCash_positive">Config!$B$10</definedName>
    <definedName name="cfg_Liq_min">Config!$B$11</definedName>
    <definedName name="cfg_Liq_cap">Config!$B$12</definedName>
    <definedName name="w_PBR">Config!$B$15</definedName>
    <definedName name="w_NetCash">Config!$B$16</definedName>
    <definedName name="w_Liq">Config!$B$17</definedName>
    <definedName name="w_Return">Config!$B$18</definedName>
    <definedName name="w_GovAct">Config!$B$19</definedName>
    <definedName name="cap_NetCashPct">Config!$B$22</definedName>
    <definedName name="cap_DivYield">Config!$B$23</definedName>
    <definedName name="cap_BuybackYield">Config!$B$24</definedName>
    <definedName name="_xlnm._FilterDatabase" localSheetId="2" hidden="1">'Universe'!$A$2:$K$2</definedName>
    <definedName name="_xlnm._FilterDatabase" localSheetId="3" hidden="1">'Fundamentals'!$A$2:$X$2</definedName>
    <definedName name="_xlnm._FilterDatabase" localSheetId="4" hidden="1">'Derived'!$A$2:$N$2</definedName>
    <definedName name="_xlnm._FilterDatabase" localSheetId="5" hidden="1">'Scores'!$A$2:$T$2</definedName>
    <definedName name="_xlnm._FilterDatabase" localSheetId="8" hidden="1">'Sources'!$A$2:$H$2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[Red](#,##0);&quot; - &quot;"/>
    <numFmt numFmtId="166" formatCode="0.0%;[Red](0.0%);&quot; - &quot;"/>
    <numFmt numFmtId="167" formatCode="0.00&quot;x&quot;;[Red](0.00&quot;x&quot;);&quot; - &quot;"/>
    <numFmt numFmtId="168" formatCode="0.000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</font>
    <font>
      <color rgb="000000FF"/>
    </font>
    <font>
      <b val="1"/>
      <color rgb="001F4E79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  <fill>
      <patternFill patternType="solid">
        <fgColor rgb="00E7F3FF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/>
    </xf>
    <xf numFmtId="2" fontId="4" fillId="4" borderId="0" applyAlignment="1" pivotButton="0" quotePrefix="0" xfId="0">
      <alignment horizontal="right" vertical="center"/>
    </xf>
    <xf numFmtId="1" fontId="4" fillId="4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165" fontId="4" fillId="4" borderId="0" applyAlignment="1" pivotButton="0" quotePrefix="0" xfId="0">
      <alignment horizontal="right" vertical="center"/>
    </xf>
    <xf numFmtId="166" fontId="4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wrapText="1"/>
    </xf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JP Long-only Prop Fund — Equity Screening Workbook (Complete v1.0)</t>
        </is>
      </c>
    </row>
    <row r="3">
      <c r="A3" s="2" t="inlineStr">
        <is>
          <t>Purpose: Repeatable weekly screening (Prime/Standard priority; Growth satellite).</t>
        </is>
      </c>
    </row>
    <row r="4">
      <c r="A4" s="2" t="inlineStr">
        <is>
          <t>Inputs: Fill blue cells in Fundamentals; record primary URLs in Sources.</t>
        </is>
      </c>
    </row>
    <row r="5">
      <c r="A5" s="2" t="inlineStr">
        <is>
          <t>Template rows: 200 rows are prebuilt. Copy formulas down if you need more.</t>
        </is>
      </c>
    </row>
    <row r="6">
      <c r="A6" s="2" t="inlineStr">
        <is>
          <t>Outputs: Report_Top20 uses formulas (no dynamic arrays).</t>
        </is>
      </c>
    </row>
    <row r="7">
      <c r="A7" s="2" t="inlineStr">
        <is>
          <t>Primary sources only: TDnet/JPX, EDINET/FSA, issuer IR PDFs (direct links).</t>
        </is>
      </c>
    </row>
    <row r="8">
      <c r="A8" s="2" t="inlineStr">
        <is>
          <t>Generated: 2026-01-26 09:00 JST</t>
        </is>
      </c>
    </row>
  </sheetData>
  <mergeCells count="7">
    <mergeCell ref="A1:H1"/>
    <mergeCell ref="A4:H4"/>
    <mergeCell ref="A3:H3"/>
    <mergeCell ref="A7:H7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24" customHeight="1">
      <c r="A1" s="1" t="inlineStr">
        <is>
          <t>Config (Inputs in blue)</t>
        </is>
      </c>
    </row>
    <row r="3">
      <c r="A3" s="3" t="inlineStr">
        <is>
          <t>Universe</t>
        </is>
      </c>
    </row>
    <row r="4">
      <c r="A4" s="4" t="inlineStr">
        <is>
          <t>Primary markets (comma separated)</t>
        </is>
      </c>
      <c r="B4" s="5" t="inlineStr">
        <is>
          <t>Prime,Standard</t>
        </is>
      </c>
    </row>
    <row r="5">
      <c r="A5" s="4" t="inlineStr">
        <is>
          <t>Satellite market</t>
        </is>
      </c>
      <c r="B5" s="5" t="inlineStr">
        <is>
          <t>Growth</t>
        </is>
      </c>
    </row>
    <row r="7">
      <c r="A7" s="3" t="inlineStr">
        <is>
          <t>Core Filters</t>
        </is>
      </c>
    </row>
    <row r="8">
      <c r="A8" s="4" t="inlineStr">
        <is>
          <t>PBR max (core)</t>
        </is>
      </c>
      <c r="B8" s="6" t="n">
        <v>1</v>
      </c>
    </row>
    <row r="9">
      <c r="A9" s="4" t="inlineStr">
        <is>
          <t>PBR floor (for scoring)</t>
        </is>
      </c>
      <c r="B9" s="6" t="n">
        <v>0.2</v>
      </c>
    </row>
    <row r="10">
      <c r="A10" s="4" t="inlineStr">
        <is>
          <t>Net Cash must be &gt; 0 (1=yes)</t>
        </is>
      </c>
      <c r="B10" s="7" t="n">
        <v>1</v>
      </c>
    </row>
    <row r="11">
      <c r="A11" s="4" t="inlineStr">
        <is>
          <t>Min liquidity (Avg traded value, ¥mm/day)</t>
        </is>
      </c>
      <c r="B11" s="8" t="n">
        <v>50</v>
      </c>
    </row>
    <row r="12">
      <c r="A12" s="4" t="inlineStr">
        <is>
          <t>Liquidity cap for scoring (¥mm/day)</t>
        </is>
      </c>
      <c r="B12" s="8" t="n">
        <v>500</v>
      </c>
    </row>
    <row r="14">
      <c r="A14" s="3" t="inlineStr">
        <is>
          <t>Score Weights (sum=100)</t>
        </is>
      </c>
    </row>
    <row r="15">
      <c r="A15" s="4" t="inlineStr">
        <is>
          <t>Weight: PBR</t>
        </is>
      </c>
      <c r="B15" s="7" t="n">
        <v>35</v>
      </c>
    </row>
    <row r="16">
      <c r="A16" s="4" t="inlineStr">
        <is>
          <t>Weight: NetCash%</t>
        </is>
      </c>
      <c r="B16" s="7" t="n">
        <v>30</v>
      </c>
    </row>
    <row r="17">
      <c r="A17" s="4" t="inlineStr">
        <is>
          <t>Weight: Liquidity</t>
        </is>
      </c>
      <c r="B17" s="7" t="n">
        <v>10</v>
      </c>
    </row>
    <row r="18">
      <c r="A18" s="4" t="inlineStr">
        <is>
          <t>Weight: Div+Buyback yield</t>
        </is>
      </c>
      <c r="B18" s="7" t="n">
        <v>15</v>
      </c>
    </row>
    <row r="19">
      <c r="A19" s="4" t="inlineStr">
        <is>
          <t>Weight: Gov/Activism</t>
        </is>
      </c>
      <c r="B19" s="7" t="n">
        <v>10</v>
      </c>
    </row>
    <row r="21">
      <c r="A21" s="3" t="inlineStr">
        <is>
          <t>Normalization Caps</t>
        </is>
      </c>
    </row>
    <row r="22">
      <c r="A22" s="4" t="inlineStr">
        <is>
          <t>NetCash% cap</t>
        </is>
      </c>
      <c r="B22" s="9" t="n">
        <v>0.5</v>
      </c>
    </row>
    <row r="23">
      <c r="A23" s="4" t="inlineStr">
        <is>
          <t>Dividend yield cap</t>
        </is>
      </c>
      <c r="B23" s="9" t="n">
        <v>0.05</v>
      </c>
    </row>
    <row r="24">
      <c r="A24" s="4" t="inlineStr">
        <is>
          <t>Buyback yield cap</t>
        </is>
      </c>
      <c r="B24" s="9" t="n">
        <v>0.05</v>
      </c>
    </row>
  </sheetData>
  <mergeCells count="5">
    <mergeCell ref="A14:F14"/>
    <mergeCell ref="A1:F1"/>
    <mergeCell ref="A3:F3"/>
    <mergeCell ref="A21:F21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28" customWidth="1" min="11" max="11"/>
  </cols>
  <sheetData>
    <row r="1" ht="24" customHeight="1">
      <c r="A1" s="1" t="inlineStr">
        <is>
          <t>Universe (paste listing here)</t>
        </is>
      </c>
    </row>
    <row r="2">
      <c r="A2" s="10" t="inlineStr">
        <is>
          <t>Ticker</t>
        </is>
      </c>
      <c r="B2" s="10" t="inlineStr">
        <is>
          <t>Name</t>
        </is>
      </c>
      <c r="C2" s="10" t="inlineStr">
        <is>
          <t>Market</t>
        </is>
      </c>
      <c r="D2" s="10" t="inlineStr">
        <is>
          <t>Market Segment</t>
        </is>
      </c>
      <c r="E2" s="10" t="inlineStr">
        <is>
          <t>Sector (33)</t>
        </is>
      </c>
      <c r="F2" s="10" t="inlineStr">
        <is>
          <t>Sector (17)</t>
        </is>
      </c>
      <c r="G2" s="10" t="inlineStr">
        <is>
          <t>ISIN</t>
        </is>
      </c>
      <c r="H2" s="10" t="inlineStr">
        <is>
          <t>Listing Date</t>
        </is>
      </c>
      <c r="I2" s="10" t="inlineStr">
        <is>
          <t>Delisting Date</t>
        </is>
      </c>
      <c r="J2" s="10" t="inlineStr">
        <is>
          <t>Active (1/0)</t>
        </is>
      </c>
      <c r="K2" s="10" t="inlineStr">
        <is>
          <t>Notes</t>
        </is>
      </c>
    </row>
  </sheetData>
  <autoFilter ref="A2:K2"/>
  <mergeCells count="1">
    <mergeCell ref="A1:K1"/>
  </mergeCells>
  <dataValidations count="2">
    <dataValidation sqref="D3:D3002" showDropDown="0" showInputMessage="0" showErrorMessage="0" allowBlank="1" type="list">
      <formula1>"Prime,Standard,Growth"</formula1>
    </dataValidation>
    <dataValidation sqref="J3:J3002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1" customWidth="1" min="4" max="4"/>
    <col width="10" customWidth="1" min="5" max="5"/>
    <col width="13" customWidth="1" min="6" max="6"/>
    <col width="16" customWidth="1" min="7" max="7"/>
    <col width="16" customWidth="1" min="8" max="8"/>
    <col width="14" customWidth="1" min="9" max="9"/>
    <col width="12" customWidth="1" min="10" max="10"/>
    <col width="18" customWidth="1" min="11" max="11"/>
    <col width="14" customWidth="1" min="12" max="12"/>
    <col width="14" customWidth="1" min="13" max="13"/>
    <col width="10" customWidth="1" min="14" max="14"/>
    <col width="18" customWidth="1" min="15" max="15"/>
    <col width="12" customWidth="1" min="16" max="16"/>
    <col width="12" customWidth="1" min="17" max="17"/>
    <col width="18" customWidth="1" min="18" max="18"/>
    <col width="18" customWidth="1" min="19" max="19"/>
    <col width="16" customWidth="1" min="20" max="20"/>
    <col width="24" customWidth="1" min="21" max="21"/>
    <col width="28" customWidth="1" min="22" max="22"/>
    <col width="28" customWidth="1" min="23" max="23"/>
    <col width="28" customWidth="1" min="24" max="24"/>
  </cols>
  <sheetData>
    <row r="1" ht="24" customHeight="1">
      <c r="A1" s="1" t="inlineStr">
        <is>
          <t>Fundamentals (blue=input; cite primary URLs)</t>
        </is>
      </c>
    </row>
    <row r="2">
      <c r="A2" s="10" t="inlineStr">
        <is>
          <t>Ticker</t>
        </is>
      </c>
      <c r="B2" s="10" t="inlineStr">
        <is>
          <t>Name</t>
        </is>
      </c>
      <c r="C2" s="10" t="inlineStr">
        <is>
          <t>Market Segment</t>
        </is>
      </c>
      <c r="D2" s="10" t="inlineStr">
        <is>
          <t>FY End</t>
        </is>
      </c>
      <c r="E2" s="10" t="inlineStr">
        <is>
          <t>Period Type</t>
        </is>
      </c>
      <c r="F2" s="10" t="inlineStr">
        <is>
          <t>Latest Filing Date</t>
        </is>
      </c>
      <c r="G2" s="10" t="inlineStr">
        <is>
          <t>Market Cap (¥mm)</t>
        </is>
      </c>
      <c r="H2" s="10" t="inlineStr">
        <is>
          <t>Book Equity (¥mm)</t>
        </is>
      </c>
      <c r="I2" s="10" t="inlineStr">
        <is>
          <t>Cash&amp;Eq (¥mm)</t>
        </is>
      </c>
      <c r="J2" s="10" t="inlineStr">
        <is>
          <t>ST Inv (¥mm)</t>
        </is>
      </c>
      <c r="K2" s="10" t="inlineStr">
        <is>
          <t>Interest-bearing Debt (¥mm)</t>
        </is>
      </c>
      <c r="L2" s="10" t="inlineStr">
        <is>
          <t>Net Income (¥mm)</t>
        </is>
      </c>
      <c r="M2" s="10" t="inlineStr">
        <is>
          <t>Shares Out (mm)</t>
        </is>
      </c>
      <c r="N2" s="10" t="inlineStr">
        <is>
          <t>Price (¥)</t>
        </is>
      </c>
      <c r="O2" s="10" t="inlineStr">
        <is>
          <t>Avg Traded Value 3m (¥mm/day)</t>
        </is>
      </c>
      <c r="P2" s="10" t="inlineStr">
        <is>
          <t>Dividend Yield</t>
        </is>
      </c>
      <c r="Q2" s="10" t="inlineStr">
        <is>
          <t>Buyback Yield</t>
        </is>
      </c>
      <c r="R2" s="10" t="inlineStr">
        <is>
          <t>Capital Policy Update (1/0)</t>
        </is>
      </c>
      <c r="S2" s="10" t="inlineStr">
        <is>
          <t>Buyback Announced (1/0)</t>
        </is>
      </c>
      <c r="T2" s="10" t="inlineStr">
        <is>
          <t>Activist Signal (0/1)</t>
        </is>
      </c>
      <c r="U2" s="10" t="inlineStr">
        <is>
          <t>Notes</t>
        </is>
      </c>
      <c r="V2" s="10" t="inlineStr">
        <is>
          <t>Source URL (financials)</t>
        </is>
      </c>
      <c r="W2" s="10" t="inlineStr">
        <is>
          <t>Source URL (EDINET)</t>
        </is>
      </c>
      <c r="X2" s="10" t="inlineStr">
        <is>
          <t>Source URL (capital policy)</t>
        </is>
      </c>
    </row>
    <row r="3">
      <c r="A3" s="11" t="n"/>
      <c r="B3">
        <f>IFERROR(INDEX(Universe!$B$3:$B$3002, MATCH($A3, Universe!$A$3:$A$3002, 0)),"")</f>
        <v/>
      </c>
      <c r="C3">
        <f>IFERROR(INDEX(Universe!$D$3:$D$3002, MATCH($A3, Universe!$A$3:$A$3002, 0)),"")</f>
        <v/>
      </c>
      <c r="D3" s="5" t="n"/>
      <c r="E3" s="5" t="n"/>
      <c r="F3" s="5" t="n"/>
      <c r="G3" s="12" t="n"/>
      <c r="H3" s="12" t="n"/>
      <c r="I3" s="12" t="n"/>
      <c r="J3" s="12" t="n"/>
      <c r="K3" s="12" t="n"/>
      <c r="L3" s="12" t="n"/>
      <c r="M3" s="5" t="n"/>
      <c r="N3" s="12" t="n"/>
      <c r="O3" s="12" t="n"/>
      <c r="P3" s="13" t="n"/>
      <c r="Q3" s="13" t="n"/>
      <c r="R3" s="11" t="n"/>
      <c r="S3" s="11" t="n"/>
      <c r="T3" s="11" t="n"/>
      <c r="V3" s="14" t="n"/>
      <c r="W3" s="14" t="n"/>
      <c r="X3" s="14" t="n"/>
    </row>
    <row r="4">
      <c r="A4" s="11" t="n"/>
      <c r="B4">
        <f>IFERROR(INDEX(Universe!$B$3:$B$3002, MATCH($A4, Universe!$A$3:$A$3002, 0)),"")</f>
        <v/>
      </c>
      <c r="C4">
        <f>IFERROR(INDEX(Universe!$D$3:$D$3002, MATCH($A4, Universe!$A$3:$A$3002, 0)),"")</f>
        <v/>
      </c>
      <c r="D4" s="5" t="n"/>
      <c r="E4" s="5" t="n"/>
      <c r="F4" s="5" t="n"/>
      <c r="G4" s="12" t="n"/>
      <c r="H4" s="12" t="n"/>
      <c r="I4" s="12" t="n"/>
      <c r="J4" s="12" t="n"/>
      <c r="K4" s="12" t="n"/>
      <c r="L4" s="12" t="n"/>
      <c r="M4" s="5" t="n"/>
      <c r="N4" s="12" t="n"/>
      <c r="O4" s="12" t="n"/>
      <c r="P4" s="13" t="n"/>
      <c r="Q4" s="13" t="n"/>
      <c r="R4" s="11" t="n"/>
      <c r="S4" s="11" t="n"/>
      <c r="T4" s="11" t="n"/>
      <c r="V4" s="14" t="n"/>
      <c r="W4" s="14" t="n"/>
      <c r="X4" s="14" t="n"/>
    </row>
    <row r="5">
      <c r="A5" s="11" t="n"/>
      <c r="B5">
        <f>IFERROR(INDEX(Universe!$B$3:$B$3002, MATCH($A5, Universe!$A$3:$A$3002, 0)),"")</f>
        <v/>
      </c>
      <c r="C5">
        <f>IFERROR(INDEX(Universe!$D$3:$D$3002, MATCH($A5, Universe!$A$3:$A$3002, 0)),"")</f>
        <v/>
      </c>
      <c r="D5" s="5" t="n"/>
      <c r="E5" s="5" t="n"/>
      <c r="F5" s="5" t="n"/>
      <c r="G5" s="12" t="n"/>
      <c r="H5" s="12" t="n"/>
      <c r="I5" s="12" t="n"/>
      <c r="J5" s="12" t="n"/>
      <c r="K5" s="12" t="n"/>
      <c r="L5" s="12" t="n"/>
      <c r="M5" s="5" t="n"/>
      <c r="N5" s="12" t="n"/>
      <c r="O5" s="12" t="n"/>
      <c r="P5" s="13" t="n"/>
      <c r="Q5" s="13" t="n"/>
      <c r="R5" s="11" t="n"/>
      <c r="S5" s="11" t="n"/>
      <c r="T5" s="11" t="n"/>
      <c r="V5" s="14" t="n"/>
      <c r="W5" s="14" t="n"/>
      <c r="X5" s="14" t="n"/>
    </row>
    <row r="6">
      <c r="A6" s="11" t="n"/>
      <c r="B6">
        <f>IFERROR(INDEX(Universe!$B$3:$B$3002, MATCH($A6, Universe!$A$3:$A$3002, 0)),"")</f>
        <v/>
      </c>
      <c r="C6">
        <f>IFERROR(INDEX(Universe!$D$3:$D$3002, MATCH($A6, Universe!$A$3:$A$3002, 0)),"")</f>
        <v/>
      </c>
      <c r="D6" s="5" t="n"/>
      <c r="E6" s="5" t="n"/>
      <c r="F6" s="5" t="n"/>
      <c r="G6" s="12" t="n"/>
      <c r="H6" s="12" t="n"/>
      <c r="I6" s="12" t="n"/>
      <c r="J6" s="12" t="n"/>
      <c r="K6" s="12" t="n"/>
      <c r="L6" s="12" t="n"/>
      <c r="M6" s="5" t="n"/>
      <c r="N6" s="12" t="n"/>
      <c r="O6" s="12" t="n"/>
      <c r="P6" s="13" t="n"/>
      <c r="Q6" s="13" t="n"/>
      <c r="R6" s="11" t="n"/>
      <c r="S6" s="11" t="n"/>
      <c r="T6" s="11" t="n"/>
      <c r="V6" s="14" t="n"/>
      <c r="W6" s="14" t="n"/>
      <c r="X6" s="14" t="n"/>
    </row>
    <row r="7">
      <c r="A7" s="11" t="n"/>
      <c r="B7">
        <f>IFERROR(INDEX(Universe!$B$3:$B$3002, MATCH($A7, Universe!$A$3:$A$3002, 0)),"")</f>
        <v/>
      </c>
      <c r="C7">
        <f>IFERROR(INDEX(Universe!$D$3:$D$3002, MATCH($A7, Universe!$A$3:$A$3002, 0)),"")</f>
        <v/>
      </c>
      <c r="D7" s="5" t="n"/>
      <c r="E7" s="5" t="n"/>
      <c r="F7" s="5" t="n"/>
      <c r="G7" s="12" t="n"/>
      <c r="H7" s="12" t="n"/>
      <c r="I7" s="12" t="n"/>
      <c r="J7" s="12" t="n"/>
      <c r="K7" s="12" t="n"/>
      <c r="L7" s="12" t="n"/>
      <c r="M7" s="5" t="n"/>
      <c r="N7" s="12" t="n"/>
      <c r="O7" s="12" t="n"/>
      <c r="P7" s="13" t="n"/>
      <c r="Q7" s="13" t="n"/>
      <c r="R7" s="11" t="n"/>
      <c r="S7" s="11" t="n"/>
      <c r="T7" s="11" t="n"/>
      <c r="V7" s="14" t="n"/>
      <c r="W7" s="14" t="n"/>
      <c r="X7" s="14" t="n"/>
    </row>
    <row r="8">
      <c r="A8" s="11" t="n"/>
      <c r="B8">
        <f>IFERROR(INDEX(Universe!$B$3:$B$3002, MATCH($A8, Universe!$A$3:$A$3002, 0)),"")</f>
        <v/>
      </c>
      <c r="C8">
        <f>IFERROR(INDEX(Universe!$D$3:$D$3002, MATCH($A8, Universe!$A$3:$A$3002, 0)),"")</f>
        <v/>
      </c>
      <c r="D8" s="5" t="n"/>
      <c r="E8" s="5" t="n"/>
      <c r="F8" s="5" t="n"/>
      <c r="G8" s="12" t="n"/>
      <c r="H8" s="12" t="n"/>
      <c r="I8" s="12" t="n"/>
      <c r="J8" s="12" t="n"/>
      <c r="K8" s="12" t="n"/>
      <c r="L8" s="12" t="n"/>
      <c r="M8" s="5" t="n"/>
      <c r="N8" s="12" t="n"/>
      <c r="O8" s="12" t="n"/>
      <c r="P8" s="13" t="n"/>
      <c r="Q8" s="13" t="n"/>
      <c r="R8" s="11" t="n"/>
      <c r="S8" s="11" t="n"/>
      <c r="T8" s="11" t="n"/>
      <c r="V8" s="14" t="n"/>
      <c r="W8" s="14" t="n"/>
      <c r="X8" s="14" t="n"/>
    </row>
    <row r="9">
      <c r="A9" s="11" t="n"/>
      <c r="B9">
        <f>IFERROR(INDEX(Universe!$B$3:$B$3002, MATCH($A9, Universe!$A$3:$A$3002, 0)),"")</f>
        <v/>
      </c>
      <c r="C9">
        <f>IFERROR(INDEX(Universe!$D$3:$D$3002, MATCH($A9, Universe!$A$3:$A$3002, 0)),"")</f>
        <v/>
      </c>
      <c r="D9" s="5" t="n"/>
      <c r="E9" s="5" t="n"/>
      <c r="F9" s="5" t="n"/>
      <c r="G9" s="12" t="n"/>
      <c r="H9" s="12" t="n"/>
      <c r="I9" s="12" t="n"/>
      <c r="J9" s="12" t="n"/>
      <c r="K9" s="12" t="n"/>
      <c r="L9" s="12" t="n"/>
      <c r="M9" s="5" t="n"/>
      <c r="N9" s="12" t="n"/>
      <c r="O9" s="12" t="n"/>
      <c r="P9" s="13" t="n"/>
      <c r="Q9" s="13" t="n"/>
      <c r="R9" s="11" t="n"/>
      <c r="S9" s="11" t="n"/>
      <c r="T9" s="11" t="n"/>
      <c r="V9" s="14" t="n"/>
      <c r="W9" s="14" t="n"/>
      <c r="X9" s="14" t="n"/>
    </row>
    <row r="10">
      <c r="A10" s="11" t="n"/>
      <c r="B10">
        <f>IFERROR(INDEX(Universe!$B$3:$B$3002, MATCH($A10, Universe!$A$3:$A$3002, 0)),"")</f>
        <v/>
      </c>
      <c r="C10">
        <f>IFERROR(INDEX(Universe!$D$3:$D$3002, MATCH($A10, Universe!$A$3:$A$3002, 0)),"")</f>
        <v/>
      </c>
      <c r="D10" s="5" t="n"/>
      <c r="E10" s="5" t="n"/>
      <c r="F10" s="5" t="n"/>
      <c r="G10" s="12" t="n"/>
      <c r="H10" s="12" t="n"/>
      <c r="I10" s="12" t="n"/>
      <c r="J10" s="12" t="n"/>
      <c r="K10" s="12" t="n"/>
      <c r="L10" s="12" t="n"/>
      <c r="M10" s="5" t="n"/>
      <c r="N10" s="12" t="n"/>
      <c r="O10" s="12" t="n"/>
      <c r="P10" s="13" t="n"/>
      <c r="Q10" s="13" t="n"/>
      <c r="R10" s="11" t="n"/>
      <c r="S10" s="11" t="n"/>
      <c r="T10" s="11" t="n"/>
      <c r="V10" s="14" t="n"/>
      <c r="W10" s="14" t="n"/>
      <c r="X10" s="14" t="n"/>
    </row>
    <row r="11">
      <c r="A11" s="11" t="n"/>
      <c r="B11">
        <f>IFERROR(INDEX(Universe!$B$3:$B$3002, MATCH($A11, Universe!$A$3:$A$3002, 0)),"")</f>
        <v/>
      </c>
      <c r="C11">
        <f>IFERROR(INDEX(Universe!$D$3:$D$3002, MATCH($A11, Universe!$A$3:$A$3002, 0)),"")</f>
        <v/>
      </c>
      <c r="D11" s="5" t="n"/>
      <c r="E11" s="5" t="n"/>
      <c r="F11" s="5" t="n"/>
      <c r="G11" s="12" t="n"/>
      <c r="H11" s="12" t="n"/>
      <c r="I11" s="12" t="n"/>
      <c r="J11" s="12" t="n"/>
      <c r="K11" s="12" t="n"/>
      <c r="L11" s="12" t="n"/>
      <c r="M11" s="5" t="n"/>
      <c r="N11" s="12" t="n"/>
      <c r="O11" s="12" t="n"/>
      <c r="P11" s="13" t="n"/>
      <c r="Q11" s="13" t="n"/>
      <c r="R11" s="11" t="n"/>
      <c r="S11" s="11" t="n"/>
      <c r="T11" s="11" t="n"/>
      <c r="V11" s="14" t="n"/>
      <c r="W11" s="14" t="n"/>
      <c r="X11" s="14" t="n"/>
    </row>
    <row r="12">
      <c r="A12" s="11" t="n"/>
      <c r="B12">
        <f>IFERROR(INDEX(Universe!$B$3:$B$3002, MATCH($A12, Universe!$A$3:$A$3002, 0)),"")</f>
        <v/>
      </c>
      <c r="C12">
        <f>IFERROR(INDEX(Universe!$D$3:$D$3002, MATCH($A12, Universe!$A$3:$A$3002, 0)),"")</f>
        <v/>
      </c>
      <c r="D12" s="5" t="n"/>
      <c r="E12" s="5" t="n"/>
      <c r="F12" s="5" t="n"/>
      <c r="G12" s="12" t="n"/>
      <c r="H12" s="12" t="n"/>
      <c r="I12" s="12" t="n"/>
      <c r="J12" s="12" t="n"/>
      <c r="K12" s="12" t="n"/>
      <c r="L12" s="12" t="n"/>
      <c r="M12" s="5" t="n"/>
      <c r="N12" s="12" t="n"/>
      <c r="O12" s="12" t="n"/>
      <c r="P12" s="13" t="n"/>
      <c r="Q12" s="13" t="n"/>
      <c r="R12" s="11" t="n"/>
      <c r="S12" s="11" t="n"/>
      <c r="T12" s="11" t="n"/>
      <c r="V12" s="14" t="n"/>
      <c r="W12" s="14" t="n"/>
      <c r="X12" s="14" t="n"/>
    </row>
    <row r="13">
      <c r="A13" s="11" t="n"/>
      <c r="B13">
        <f>IFERROR(INDEX(Universe!$B$3:$B$3002, MATCH($A13, Universe!$A$3:$A$3002, 0)),"")</f>
        <v/>
      </c>
      <c r="C13">
        <f>IFERROR(INDEX(Universe!$D$3:$D$3002, MATCH($A13, Universe!$A$3:$A$3002, 0)),"")</f>
        <v/>
      </c>
      <c r="D13" s="5" t="n"/>
      <c r="E13" s="5" t="n"/>
      <c r="F13" s="5" t="n"/>
      <c r="G13" s="12" t="n"/>
      <c r="H13" s="12" t="n"/>
      <c r="I13" s="12" t="n"/>
      <c r="J13" s="12" t="n"/>
      <c r="K13" s="12" t="n"/>
      <c r="L13" s="12" t="n"/>
      <c r="M13" s="5" t="n"/>
      <c r="N13" s="12" t="n"/>
      <c r="O13" s="12" t="n"/>
      <c r="P13" s="13" t="n"/>
      <c r="Q13" s="13" t="n"/>
      <c r="R13" s="11" t="n"/>
      <c r="S13" s="11" t="n"/>
      <c r="T13" s="11" t="n"/>
      <c r="V13" s="14" t="n"/>
      <c r="W13" s="14" t="n"/>
      <c r="X13" s="14" t="n"/>
    </row>
    <row r="14">
      <c r="A14" s="11" t="n"/>
      <c r="B14">
        <f>IFERROR(INDEX(Universe!$B$3:$B$3002, MATCH($A14, Universe!$A$3:$A$3002, 0)),"")</f>
        <v/>
      </c>
      <c r="C14">
        <f>IFERROR(INDEX(Universe!$D$3:$D$3002, MATCH($A14, Universe!$A$3:$A$3002, 0)),"")</f>
        <v/>
      </c>
      <c r="D14" s="5" t="n"/>
      <c r="E14" s="5" t="n"/>
      <c r="F14" s="5" t="n"/>
      <c r="G14" s="12" t="n"/>
      <c r="H14" s="12" t="n"/>
      <c r="I14" s="12" t="n"/>
      <c r="J14" s="12" t="n"/>
      <c r="K14" s="12" t="n"/>
      <c r="L14" s="12" t="n"/>
      <c r="M14" s="5" t="n"/>
      <c r="N14" s="12" t="n"/>
      <c r="O14" s="12" t="n"/>
      <c r="P14" s="13" t="n"/>
      <c r="Q14" s="13" t="n"/>
      <c r="R14" s="11" t="n"/>
      <c r="S14" s="11" t="n"/>
      <c r="T14" s="11" t="n"/>
      <c r="V14" s="14" t="n"/>
      <c r="W14" s="14" t="n"/>
      <c r="X14" s="14" t="n"/>
    </row>
    <row r="15">
      <c r="A15" s="11" t="n"/>
      <c r="B15">
        <f>IFERROR(INDEX(Universe!$B$3:$B$3002, MATCH($A15, Universe!$A$3:$A$3002, 0)),"")</f>
        <v/>
      </c>
      <c r="C15">
        <f>IFERROR(INDEX(Universe!$D$3:$D$3002, MATCH($A15, Universe!$A$3:$A$3002, 0)),"")</f>
        <v/>
      </c>
      <c r="D15" s="5" t="n"/>
      <c r="E15" s="5" t="n"/>
      <c r="F15" s="5" t="n"/>
      <c r="G15" s="12" t="n"/>
      <c r="H15" s="12" t="n"/>
      <c r="I15" s="12" t="n"/>
      <c r="J15" s="12" t="n"/>
      <c r="K15" s="12" t="n"/>
      <c r="L15" s="12" t="n"/>
      <c r="M15" s="5" t="n"/>
      <c r="N15" s="12" t="n"/>
      <c r="O15" s="12" t="n"/>
      <c r="P15" s="13" t="n"/>
      <c r="Q15" s="13" t="n"/>
      <c r="R15" s="11" t="n"/>
      <c r="S15" s="11" t="n"/>
      <c r="T15" s="11" t="n"/>
      <c r="V15" s="14" t="n"/>
      <c r="W15" s="14" t="n"/>
      <c r="X15" s="14" t="n"/>
    </row>
    <row r="16">
      <c r="A16" s="11" t="n"/>
      <c r="B16">
        <f>IFERROR(INDEX(Universe!$B$3:$B$3002, MATCH($A16, Universe!$A$3:$A$3002, 0)),"")</f>
        <v/>
      </c>
      <c r="C16">
        <f>IFERROR(INDEX(Universe!$D$3:$D$3002, MATCH($A16, Universe!$A$3:$A$3002, 0)),"")</f>
        <v/>
      </c>
      <c r="D16" s="5" t="n"/>
      <c r="E16" s="5" t="n"/>
      <c r="F16" s="5" t="n"/>
      <c r="G16" s="12" t="n"/>
      <c r="H16" s="12" t="n"/>
      <c r="I16" s="12" t="n"/>
      <c r="J16" s="12" t="n"/>
      <c r="K16" s="12" t="n"/>
      <c r="L16" s="12" t="n"/>
      <c r="M16" s="5" t="n"/>
      <c r="N16" s="12" t="n"/>
      <c r="O16" s="12" t="n"/>
      <c r="P16" s="13" t="n"/>
      <c r="Q16" s="13" t="n"/>
      <c r="R16" s="11" t="n"/>
      <c r="S16" s="11" t="n"/>
      <c r="T16" s="11" t="n"/>
      <c r="V16" s="14" t="n"/>
      <c r="W16" s="14" t="n"/>
      <c r="X16" s="14" t="n"/>
    </row>
    <row r="17">
      <c r="A17" s="11" t="n"/>
      <c r="B17">
        <f>IFERROR(INDEX(Universe!$B$3:$B$3002, MATCH($A17, Universe!$A$3:$A$3002, 0)),"")</f>
        <v/>
      </c>
      <c r="C17">
        <f>IFERROR(INDEX(Universe!$D$3:$D$3002, MATCH($A17, Universe!$A$3:$A$3002, 0)),"")</f>
        <v/>
      </c>
      <c r="D17" s="5" t="n"/>
      <c r="E17" s="5" t="n"/>
      <c r="F17" s="5" t="n"/>
      <c r="G17" s="12" t="n"/>
      <c r="H17" s="12" t="n"/>
      <c r="I17" s="12" t="n"/>
      <c r="J17" s="12" t="n"/>
      <c r="K17" s="12" t="n"/>
      <c r="L17" s="12" t="n"/>
      <c r="M17" s="5" t="n"/>
      <c r="N17" s="12" t="n"/>
      <c r="O17" s="12" t="n"/>
      <c r="P17" s="13" t="n"/>
      <c r="Q17" s="13" t="n"/>
      <c r="R17" s="11" t="n"/>
      <c r="S17" s="11" t="n"/>
      <c r="T17" s="11" t="n"/>
      <c r="V17" s="14" t="n"/>
      <c r="W17" s="14" t="n"/>
      <c r="X17" s="14" t="n"/>
    </row>
    <row r="18">
      <c r="A18" s="11" t="n"/>
      <c r="B18">
        <f>IFERROR(INDEX(Universe!$B$3:$B$3002, MATCH($A18, Universe!$A$3:$A$3002, 0)),"")</f>
        <v/>
      </c>
      <c r="C18">
        <f>IFERROR(INDEX(Universe!$D$3:$D$3002, MATCH($A18, Universe!$A$3:$A$3002, 0)),"")</f>
        <v/>
      </c>
      <c r="D18" s="5" t="n"/>
      <c r="E18" s="5" t="n"/>
      <c r="F18" s="5" t="n"/>
      <c r="G18" s="12" t="n"/>
      <c r="H18" s="12" t="n"/>
      <c r="I18" s="12" t="n"/>
      <c r="J18" s="12" t="n"/>
      <c r="K18" s="12" t="n"/>
      <c r="L18" s="12" t="n"/>
      <c r="M18" s="5" t="n"/>
      <c r="N18" s="12" t="n"/>
      <c r="O18" s="12" t="n"/>
      <c r="P18" s="13" t="n"/>
      <c r="Q18" s="13" t="n"/>
      <c r="R18" s="11" t="n"/>
      <c r="S18" s="11" t="n"/>
      <c r="T18" s="11" t="n"/>
      <c r="V18" s="14" t="n"/>
      <c r="W18" s="14" t="n"/>
      <c r="X18" s="14" t="n"/>
    </row>
    <row r="19">
      <c r="A19" s="11" t="n"/>
      <c r="B19">
        <f>IFERROR(INDEX(Universe!$B$3:$B$3002, MATCH($A19, Universe!$A$3:$A$3002, 0)),"")</f>
        <v/>
      </c>
      <c r="C19">
        <f>IFERROR(INDEX(Universe!$D$3:$D$3002, MATCH($A19, Universe!$A$3:$A$3002, 0)),"")</f>
        <v/>
      </c>
      <c r="D19" s="5" t="n"/>
      <c r="E19" s="5" t="n"/>
      <c r="F19" s="5" t="n"/>
      <c r="G19" s="12" t="n"/>
      <c r="H19" s="12" t="n"/>
      <c r="I19" s="12" t="n"/>
      <c r="J19" s="12" t="n"/>
      <c r="K19" s="12" t="n"/>
      <c r="L19" s="12" t="n"/>
      <c r="M19" s="5" t="n"/>
      <c r="N19" s="12" t="n"/>
      <c r="O19" s="12" t="n"/>
      <c r="P19" s="13" t="n"/>
      <c r="Q19" s="13" t="n"/>
      <c r="R19" s="11" t="n"/>
      <c r="S19" s="11" t="n"/>
      <c r="T19" s="11" t="n"/>
      <c r="V19" s="14" t="n"/>
      <c r="W19" s="14" t="n"/>
      <c r="X19" s="14" t="n"/>
    </row>
    <row r="20">
      <c r="A20" s="11" t="n"/>
      <c r="B20">
        <f>IFERROR(INDEX(Universe!$B$3:$B$3002, MATCH($A20, Universe!$A$3:$A$3002, 0)),"")</f>
        <v/>
      </c>
      <c r="C20">
        <f>IFERROR(INDEX(Universe!$D$3:$D$3002, MATCH($A20, Universe!$A$3:$A$3002, 0)),"")</f>
        <v/>
      </c>
      <c r="D20" s="5" t="n"/>
      <c r="E20" s="5" t="n"/>
      <c r="F20" s="5" t="n"/>
      <c r="G20" s="12" t="n"/>
      <c r="H20" s="12" t="n"/>
      <c r="I20" s="12" t="n"/>
      <c r="J20" s="12" t="n"/>
      <c r="K20" s="12" t="n"/>
      <c r="L20" s="12" t="n"/>
      <c r="M20" s="5" t="n"/>
      <c r="N20" s="12" t="n"/>
      <c r="O20" s="12" t="n"/>
      <c r="P20" s="13" t="n"/>
      <c r="Q20" s="13" t="n"/>
      <c r="R20" s="11" t="n"/>
      <c r="S20" s="11" t="n"/>
      <c r="T20" s="11" t="n"/>
      <c r="V20" s="14" t="n"/>
      <c r="W20" s="14" t="n"/>
      <c r="X20" s="14" t="n"/>
    </row>
    <row r="21">
      <c r="A21" s="11" t="n"/>
      <c r="B21">
        <f>IFERROR(INDEX(Universe!$B$3:$B$3002, MATCH($A21, Universe!$A$3:$A$3002, 0)),"")</f>
        <v/>
      </c>
      <c r="C21">
        <f>IFERROR(INDEX(Universe!$D$3:$D$3002, MATCH($A21, Universe!$A$3:$A$3002, 0)),"")</f>
        <v/>
      </c>
      <c r="D21" s="5" t="n"/>
      <c r="E21" s="5" t="n"/>
      <c r="F21" s="5" t="n"/>
      <c r="G21" s="12" t="n"/>
      <c r="H21" s="12" t="n"/>
      <c r="I21" s="12" t="n"/>
      <c r="J21" s="12" t="n"/>
      <c r="K21" s="12" t="n"/>
      <c r="L21" s="12" t="n"/>
      <c r="M21" s="5" t="n"/>
      <c r="N21" s="12" t="n"/>
      <c r="O21" s="12" t="n"/>
      <c r="P21" s="13" t="n"/>
      <c r="Q21" s="13" t="n"/>
      <c r="R21" s="11" t="n"/>
      <c r="S21" s="11" t="n"/>
      <c r="T21" s="11" t="n"/>
      <c r="V21" s="14" t="n"/>
      <c r="W21" s="14" t="n"/>
      <c r="X21" s="14" t="n"/>
    </row>
    <row r="22">
      <c r="A22" s="11" t="n"/>
      <c r="B22">
        <f>IFERROR(INDEX(Universe!$B$3:$B$3002, MATCH($A22, Universe!$A$3:$A$3002, 0)),"")</f>
        <v/>
      </c>
      <c r="C22">
        <f>IFERROR(INDEX(Universe!$D$3:$D$3002, MATCH($A22, Universe!$A$3:$A$3002, 0)),"")</f>
        <v/>
      </c>
      <c r="D22" s="5" t="n"/>
      <c r="E22" s="5" t="n"/>
      <c r="F22" s="5" t="n"/>
      <c r="G22" s="12" t="n"/>
      <c r="H22" s="12" t="n"/>
      <c r="I22" s="12" t="n"/>
      <c r="J22" s="12" t="n"/>
      <c r="K22" s="12" t="n"/>
      <c r="L22" s="12" t="n"/>
      <c r="M22" s="5" t="n"/>
      <c r="N22" s="12" t="n"/>
      <c r="O22" s="12" t="n"/>
      <c r="P22" s="13" t="n"/>
      <c r="Q22" s="13" t="n"/>
      <c r="R22" s="11" t="n"/>
      <c r="S22" s="11" t="n"/>
      <c r="T22" s="11" t="n"/>
      <c r="V22" s="14" t="n"/>
      <c r="W22" s="14" t="n"/>
      <c r="X22" s="14" t="n"/>
    </row>
    <row r="23">
      <c r="A23" s="11" t="n"/>
      <c r="B23">
        <f>IFERROR(INDEX(Universe!$B$3:$B$3002, MATCH($A23, Universe!$A$3:$A$3002, 0)),"")</f>
        <v/>
      </c>
      <c r="C23">
        <f>IFERROR(INDEX(Universe!$D$3:$D$3002, MATCH($A23, Universe!$A$3:$A$3002, 0)),"")</f>
        <v/>
      </c>
      <c r="D23" s="5" t="n"/>
      <c r="E23" s="5" t="n"/>
      <c r="F23" s="5" t="n"/>
      <c r="G23" s="12" t="n"/>
      <c r="H23" s="12" t="n"/>
      <c r="I23" s="12" t="n"/>
      <c r="J23" s="12" t="n"/>
      <c r="K23" s="12" t="n"/>
      <c r="L23" s="12" t="n"/>
      <c r="M23" s="5" t="n"/>
      <c r="N23" s="12" t="n"/>
      <c r="O23" s="12" t="n"/>
      <c r="P23" s="13" t="n"/>
      <c r="Q23" s="13" t="n"/>
      <c r="R23" s="11" t="n"/>
      <c r="S23" s="11" t="n"/>
      <c r="T23" s="11" t="n"/>
      <c r="V23" s="14" t="n"/>
      <c r="W23" s="14" t="n"/>
      <c r="X23" s="14" t="n"/>
    </row>
    <row r="24">
      <c r="A24" s="11" t="n"/>
      <c r="B24">
        <f>IFERROR(INDEX(Universe!$B$3:$B$3002, MATCH($A24, Universe!$A$3:$A$3002, 0)),"")</f>
        <v/>
      </c>
      <c r="C24">
        <f>IFERROR(INDEX(Universe!$D$3:$D$3002, MATCH($A24, Universe!$A$3:$A$3002, 0)),"")</f>
        <v/>
      </c>
      <c r="D24" s="5" t="n"/>
      <c r="E24" s="5" t="n"/>
      <c r="F24" s="5" t="n"/>
      <c r="G24" s="12" t="n"/>
      <c r="H24" s="12" t="n"/>
      <c r="I24" s="12" t="n"/>
      <c r="J24" s="12" t="n"/>
      <c r="K24" s="12" t="n"/>
      <c r="L24" s="12" t="n"/>
      <c r="M24" s="5" t="n"/>
      <c r="N24" s="12" t="n"/>
      <c r="O24" s="12" t="n"/>
      <c r="P24" s="13" t="n"/>
      <c r="Q24" s="13" t="n"/>
      <c r="R24" s="11" t="n"/>
      <c r="S24" s="11" t="n"/>
      <c r="T24" s="11" t="n"/>
      <c r="V24" s="14" t="n"/>
      <c r="W24" s="14" t="n"/>
      <c r="X24" s="14" t="n"/>
    </row>
    <row r="25">
      <c r="A25" s="11" t="n"/>
      <c r="B25">
        <f>IFERROR(INDEX(Universe!$B$3:$B$3002, MATCH($A25, Universe!$A$3:$A$3002, 0)),"")</f>
        <v/>
      </c>
      <c r="C25">
        <f>IFERROR(INDEX(Universe!$D$3:$D$3002, MATCH($A25, Universe!$A$3:$A$3002, 0)),"")</f>
        <v/>
      </c>
      <c r="D25" s="5" t="n"/>
      <c r="E25" s="5" t="n"/>
      <c r="F25" s="5" t="n"/>
      <c r="G25" s="12" t="n"/>
      <c r="H25" s="12" t="n"/>
      <c r="I25" s="12" t="n"/>
      <c r="J25" s="12" t="n"/>
      <c r="K25" s="12" t="n"/>
      <c r="L25" s="12" t="n"/>
      <c r="M25" s="5" t="n"/>
      <c r="N25" s="12" t="n"/>
      <c r="O25" s="12" t="n"/>
      <c r="P25" s="13" t="n"/>
      <c r="Q25" s="13" t="n"/>
      <c r="R25" s="11" t="n"/>
      <c r="S25" s="11" t="n"/>
      <c r="T25" s="11" t="n"/>
      <c r="V25" s="14" t="n"/>
      <c r="W25" s="14" t="n"/>
      <c r="X25" s="14" t="n"/>
    </row>
    <row r="26">
      <c r="A26" s="11" t="n"/>
      <c r="B26">
        <f>IFERROR(INDEX(Universe!$B$3:$B$3002, MATCH($A26, Universe!$A$3:$A$3002, 0)),"")</f>
        <v/>
      </c>
      <c r="C26">
        <f>IFERROR(INDEX(Universe!$D$3:$D$3002, MATCH($A26, Universe!$A$3:$A$3002, 0)),"")</f>
        <v/>
      </c>
      <c r="D26" s="5" t="n"/>
      <c r="E26" s="5" t="n"/>
      <c r="F26" s="5" t="n"/>
      <c r="G26" s="12" t="n"/>
      <c r="H26" s="12" t="n"/>
      <c r="I26" s="12" t="n"/>
      <c r="J26" s="12" t="n"/>
      <c r="K26" s="12" t="n"/>
      <c r="L26" s="12" t="n"/>
      <c r="M26" s="5" t="n"/>
      <c r="N26" s="12" t="n"/>
      <c r="O26" s="12" t="n"/>
      <c r="P26" s="13" t="n"/>
      <c r="Q26" s="13" t="n"/>
      <c r="R26" s="11" t="n"/>
      <c r="S26" s="11" t="n"/>
      <c r="T26" s="11" t="n"/>
      <c r="V26" s="14" t="n"/>
      <c r="W26" s="14" t="n"/>
      <c r="X26" s="14" t="n"/>
    </row>
    <row r="27">
      <c r="A27" s="11" t="n"/>
      <c r="B27">
        <f>IFERROR(INDEX(Universe!$B$3:$B$3002, MATCH($A27, Universe!$A$3:$A$3002, 0)),"")</f>
        <v/>
      </c>
      <c r="C27">
        <f>IFERROR(INDEX(Universe!$D$3:$D$3002, MATCH($A27, Universe!$A$3:$A$3002, 0)),"")</f>
        <v/>
      </c>
      <c r="D27" s="5" t="n"/>
      <c r="E27" s="5" t="n"/>
      <c r="F27" s="5" t="n"/>
      <c r="G27" s="12" t="n"/>
      <c r="H27" s="12" t="n"/>
      <c r="I27" s="12" t="n"/>
      <c r="J27" s="12" t="n"/>
      <c r="K27" s="12" t="n"/>
      <c r="L27" s="12" t="n"/>
      <c r="M27" s="5" t="n"/>
      <c r="N27" s="12" t="n"/>
      <c r="O27" s="12" t="n"/>
      <c r="P27" s="13" t="n"/>
      <c r="Q27" s="13" t="n"/>
      <c r="R27" s="11" t="n"/>
      <c r="S27" s="11" t="n"/>
      <c r="T27" s="11" t="n"/>
      <c r="V27" s="14" t="n"/>
      <c r="W27" s="14" t="n"/>
      <c r="X27" s="14" t="n"/>
    </row>
    <row r="28">
      <c r="A28" s="11" t="n"/>
      <c r="B28">
        <f>IFERROR(INDEX(Universe!$B$3:$B$3002, MATCH($A28, Universe!$A$3:$A$3002, 0)),"")</f>
        <v/>
      </c>
      <c r="C28">
        <f>IFERROR(INDEX(Universe!$D$3:$D$3002, MATCH($A28, Universe!$A$3:$A$3002, 0)),"")</f>
        <v/>
      </c>
      <c r="D28" s="5" t="n"/>
      <c r="E28" s="5" t="n"/>
      <c r="F28" s="5" t="n"/>
      <c r="G28" s="12" t="n"/>
      <c r="H28" s="12" t="n"/>
      <c r="I28" s="12" t="n"/>
      <c r="J28" s="12" t="n"/>
      <c r="K28" s="12" t="n"/>
      <c r="L28" s="12" t="n"/>
      <c r="M28" s="5" t="n"/>
      <c r="N28" s="12" t="n"/>
      <c r="O28" s="12" t="n"/>
      <c r="P28" s="13" t="n"/>
      <c r="Q28" s="13" t="n"/>
      <c r="R28" s="11" t="n"/>
      <c r="S28" s="11" t="n"/>
      <c r="T28" s="11" t="n"/>
      <c r="V28" s="14" t="n"/>
      <c r="W28" s="14" t="n"/>
      <c r="X28" s="14" t="n"/>
    </row>
    <row r="29">
      <c r="A29" s="11" t="n"/>
      <c r="B29">
        <f>IFERROR(INDEX(Universe!$B$3:$B$3002, MATCH($A29, Universe!$A$3:$A$3002, 0)),"")</f>
        <v/>
      </c>
      <c r="C29">
        <f>IFERROR(INDEX(Universe!$D$3:$D$3002, MATCH($A29, Universe!$A$3:$A$3002, 0)),"")</f>
        <v/>
      </c>
      <c r="D29" s="5" t="n"/>
      <c r="E29" s="5" t="n"/>
      <c r="F29" s="5" t="n"/>
      <c r="G29" s="12" t="n"/>
      <c r="H29" s="12" t="n"/>
      <c r="I29" s="12" t="n"/>
      <c r="J29" s="12" t="n"/>
      <c r="K29" s="12" t="n"/>
      <c r="L29" s="12" t="n"/>
      <c r="M29" s="5" t="n"/>
      <c r="N29" s="12" t="n"/>
      <c r="O29" s="12" t="n"/>
      <c r="P29" s="13" t="n"/>
      <c r="Q29" s="13" t="n"/>
      <c r="R29" s="11" t="n"/>
      <c r="S29" s="11" t="n"/>
      <c r="T29" s="11" t="n"/>
      <c r="V29" s="14" t="n"/>
      <c r="W29" s="14" t="n"/>
      <c r="X29" s="14" t="n"/>
    </row>
    <row r="30">
      <c r="A30" s="11" t="n"/>
      <c r="B30">
        <f>IFERROR(INDEX(Universe!$B$3:$B$3002, MATCH($A30, Universe!$A$3:$A$3002, 0)),"")</f>
        <v/>
      </c>
      <c r="C30">
        <f>IFERROR(INDEX(Universe!$D$3:$D$3002, MATCH($A30, Universe!$A$3:$A$3002, 0)),"")</f>
        <v/>
      </c>
      <c r="D30" s="5" t="n"/>
      <c r="E30" s="5" t="n"/>
      <c r="F30" s="5" t="n"/>
      <c r="G30" s="12" t="n"/>
      <c r="H30" s="12" t="n"/>
      <c r="I30" s="12" t="n"/>
      <c r="J30" s="12" t="n"/>
      <c r="K30" s="12" t="n"/>
      <c r="L30" s="12" t="n"/>
      <c r="M30" s="5" t="n"/>
      <c r="N30" s="12" t="n"/>
      <c r="O30" s="12" t="n"/>
      <c r="P30" s="13" t="n"/>
      <c r="Q30" s="13" t="n"/>
      <c r="R30" s="11" t="n"/>
      <c r="S30" s="11" t="n"/>
      <c r="T30" s="11" t="n"/>
      <c r="V30" s="14" t="n"/>
      <c r="W30" s="14" t="n"/>
      <c r="X30" s="14" t="n"/>
    </row>
    <row r="31">
      <c r="A31" s="11" t="n"/>
      <c r="B31">
        <f>IFERROR(INDEX(Universe!$B$3:$B$3002, MATCH($A31, Universe!$A$3:$A$3002, 0)),"")</f>
        <v/>
      </c>
      <c r="C31">
        <f>IFERROR(INDEX(Universe!$D$3:$D$3002, MATCH($A31, Universe!$A$3:$A$3002, 0)),"")</f>
        <v/>
      </c>
      <c r="D31" s="5" t="n"/>
      <c r="E31" s="5" t="n"/>
      <c r="F31" s="5" t="n"/>
      <c r="G31" s="12" t="n"/>
      <c r="H31" s="12" t="n"/>
      <c r="I31" s="12" t="n"/>
      <c r="J31" s="12" t="n"/>
      <c r="K31" s="12" t="n"/>
      <c r="L31" s="12" t="n"/>
      <c r="M31" s="5" t="n"/>
      <c r="N31" s="12" t="n"/>
      <c r="O31" s="12" t="n"/>
      <c r="P31" s="13" t="n"/>
      <c r="Q31" s="13" t="n"/>
      <c r="R31" s="11" t="n"/>
      <c r="S31" s="11" t="n"/>
      <c r="T31" s="11" t="n"/>
      <c r="V31" s="14" t="n"/>
      <c r="W31" s="14" t="n"/>
      <c r="X31" s="14" t="n"/>
    </row>
    <row r="32">
      <c r="A32" s="11" t="n"/>
      <c r="B32">
        <f>IFERROR(INDEX(Universe!$B$3:$B$3002, MATCH($A32, Universe!$A$3:$A$3002, 0)),"")</f>
        <v/>
      </c>
      <c r="C32">
        <f>IFERROR(INDEX(Universe!$D$3:$D$3002, MATCH($A32, Universe!$A$3:$A$3002, 0)),"")</f>
        <v/>
      </c>
      <c r="D32" s="5" t="n"/>
      <c r="E32" s="5" t="n"/>
      <c r="F32" s="5" t="n"/>
      <c r="G32" s="12" t="n"/>
      <c r="H32" s="12" t="n"/>
      <c r="I32" s="12" t="n"/>
      <c r="J32" s="12" t="n"/>
      <c r="K32" s="12" t="n"/>
      <c r="L32" s="12" t="n"/>
      <c r="M32" s="5" t="n"/>
      <c r="N32" s="12" t="n"/>
      <c r="O32" s="12" t="n"/>
      <c r="P32" s="13" t="n"/>
      <c r="Q32" s="13" t="n"/>
      <c r="R32" s="11" t="n"/>
      <c r="S32" s="11" t="n"/>
      <c r="T32" s="11" t="n"/>
      <c r="V32" s="14" t="n"/>
      <c r="W32" s="14" t="n"/>
      <c r="X32" s="14" t="n"/>
    </row>
    <row r="33">
      <c r="A33" s="11" t="n"/>
      <c r="B33">
        <f>IFERROR(INDEX(Universe!$B$3:$B$3002, MATCH($A33, Universe!$A$3:$A$3002, 0)),"")</f>
        <v/>
      </c>
      <c r="C33">
        <f>IFERROR(INDEX(Universe!$D$3:$D$3002, MATCH($A33, Universe!$A$3:$A$3002, 0)),"")</f>
        <v/>
      </c>
      <c r="D33" s="5" t="n"/>
      <c r="E33" s="5" t="n"/>
      <c r="F33" s="5" t="n"/>
      <c r="G33" s="12" t="n"/>
      <c r="H33" s="12" t="n"/>
      <c r="I33" s="12" t="n"/>
      <c r="J33" s="12" t="n"/>
      <c r="K33" s="12" t="n"/>
      <c r="L33" s="12" t="n"/>
      <c r="M33" s="5" t="n"/>
      <c r="N33" s="12" t="n"/>
      <c r="O33" s="12" t="n"/>
      <c r="P33" s="13" t="n"/>
      <c r="Q33" s="13" t="n"/>
      <c r="R33" s="11" t="n"/>
      <c r="S33" s="11" t="n"/>
      <c r="T33" s="11" t="n"/>
      <c r="V33" s="14" t="n"/>
      <c r="W33" s="14" t="n"/>
      <c r="X33" s="14" t="n"/>
    </row>
    <row r="34">
      <c r="A34" s="11" t="n"/>
      <c r="B34">
        <f>IFERROR(INDEX(Universe!$B$3:$B$3002, MATCH($A34, Universe!$A$3:$A$3002, 0)),"")</f>
        <v/>
      </c>
      <c r="C34">
        <f>IFERROR(INDEX(Universe!$D$3:$D$3002, MATCH($A34, Universe!$A$3:$A$3002, 0)),"")</f>
        <v/>
      </c>
      <c r="D34" s="5" t="n"/>
      <c r="E34" s="5" t="n"/>
      <c r="F34" s="5" t="n"/>
      <c r="G34" s="12" t="n"/>
      <c r="H34" s="12" t="n"/>
      <c r="I34" s="12" t="n"/>
      <c r="J34" s="12" t="n"/>
      <c r="K34" s="12" t="n"/>
      <c r="L34" s="12" t="n"/>
      <c r="M34" s="5" t="n"/>
      <c r="N34" s="12" t="n"/>
      <c r="O34" s="12" t="n"/>
      <c r="P34" s="13" t="n"/>
      <c r="Q34" s="13" t="n"/>
      <c r="R34" s="11" t="n"/>
      <c r="S34" s="11" t="n"/>
      <c r="T34" s="11" t="n"/>
      <c r="V34" s="14" t="n"/>
      <c r="W34" s="14" t="n"/>
      <c r="X34" s="14" t="n"/>
    </row>
    <row r="35">
      <c r="A35" s="11" t="n"/>
      <c r="B35">
        <f>IFERROR(INDEX(Universe!$B$3:$B$3002, MATCH($A35, Universe!$A$3:$A$3002, 0)),"")</f>
        <v/>
      </c>
      <c r="C35">
        <f>IFERROR(INDEX(Universe!$D$3:$D$3002, MATCH($A35, Universe!$A$3:$A$3002, 0)),"")</f>
        <v/>
      </c>
      <c r="D35" s="5" t="n"/>
      <c r="E35" s="5" t="n"/>
      <c r="F35" s="5" t="n"/>
      <c r="G35" s="12" t="n"/>
      <c r="H35" s="12" t="n"/>
      <c r="I35" s="12" t="n"/>
      <c r="J35" s="12" t="n"/>
      <c r="K35" s="12" t="n"/>
      <c r="L35" s="12" t="n"/>
      <c r="M35" s="5" t="n"/>
      <c r="N35" s="12" t="n"/>
      <c r="O35" s="12" t="n"/>
      <c r="P35" s="13" t="n"/>
      <c r="Q35" s="13" t="n"/>
      <c r="R35" s="11" t="n"/>
      <c r="S35" s="11" t="n"/>
      <c r="T35" s="11" t="n"/>
      <c r="V35" s="14" t="n"/>
      <c r="W35" s="14" t="n"/>
      <c r="X35" s="14" t="n"/>
    </row>
    <row r="36">
      <c r="A36" s="11" t="n"/>
      <c r="B36">
        <f>IFERROR(INDEX(Universe!$B$3:$B$3002, MATCH($A36, Universe!$A$3:$A$3002, 0)),"")</f>
        <v/>
      </c>
      <c r="C36">
        <f>IFERROR(INDEX(Universe!$D$3:$D$3002, MATCH($A36, Universe!$A$3:$A$3002, 0)),"")</f>
        <v/>
      </c>
      <c r="D36" s="5" t="n"/>
      <c r="E36" s="5" t="n"/>
      <c r="F36" s="5" t="n"/>
      <c r="G36" s="12" t="n"/>
      <c r="H36" s="12" t="n"/>
      <c r="I36" s="12" t="n"/>
      <c r="J36" s="12" t="n"/>
      <c r="K36" s="12" t="n"/>
      <c r="L36" s="12" t="n"/>
      <c r="M36" s="5" t="n"/>
      <c r="N36" s="12" t="n"/>
      <c r="O36" s="12" t="n"/>
      <c r="P36" s="13" t="n"/>
      <c r="Q36" s="13" t="n"/>
      <c r="R36" s="11" t="n"/>
      <c r="S36" s="11" t="n"/>
      <c r="T36" s="11" t="n"/>
      <c r="V36" s="14" t="n"/>
      <c r="W36" s="14" t="n"/>
      <c r="X36" s="14" t="n"/>
    </row>
    <row r="37">
      <c r="A37" s="11" t="n"/>
      <c r="B37">
        <f>IFERROR(INDEX(Universe!$B$3:$B$3002, MATCH($A37, Universe!$A$3:$A$3002, 0)),"")</f>
        <v/>
      </c>
      <c r="C37">
        <f>IFERROR(INDEX(Universe!$D$3:$D$3002, MATCH($A37, Universe!$A$3:$A$3002, 0)),"")</f>
        <v/>
      </c>
      <c r="D37" s="5" t="n"/>
      <c r="E37" s="5" t="n"/>
      <c r="F37" s="5" t="n"/>
      <c r="G37" s="12" t="n"/>
      <c r="H37" s="12" t="n"/>
      <c r="I37" s="12" t="n"/>
      <c r="J37" s="12" t="n"/>
      <c r="K37" s="12" t="n"/>
      <c r="L37" s="12" t="n"/>
      <c r="M37" s="5" t="n"/>
      <c r="N37" s="12" t="n"/>
      <c r="O37" s="12" t="n"/>
      <c r="P37" s="13" t="n"/>
      <c r="Q37" s="13" t="n"/>
      <c r="R37" s="11" t="n"/>
      <c r="S37" s="11" t="n"/>
      <c r="T37" s="11" t="n"/>
      <c r="V37" s="14" t="n"/>
      <c r="W37" s="14" t="n"/>
      <c r="X37" s="14" t="n"/>
    </row>
    <row r="38">
      <c r="A38" s="11" t="n"/>
      <c r="B38">
        <f>IFERROR(INDEX(Universe!$B$3:$B$3002, MATCH($A38, Universe!$A$3:$A$3002, 0)),"")</f>
        <v/>
      </c>
      <c r="C38">
        <f>IFERROR(INDEX(Universe!$D$3:$D$3002, MATCH($A38, Universe!$A$3:$A$3002, 0)),"")</f>
        <v/>
      </c>
      <c r="D38" s="5" t="n"/>
      <c r="E38" s="5" t="n"/>
      <c r="F38" s="5" t="n"/>
      <c r="G38" s="12" t="n"/>
      <c r="H38" s="12" t="n"/>
      <c r="I38" s="12" t="n"/>
      <c r="J38" s="12" t="n"/>
      <c r="K38" s="12" t="n"/>
      <c r="L38" s="12" t="n"/>
      <c r="M38" s="5" t="n"/>
      <c r="N38" s="12" t="n"/>
      <c r="O38" s="12" t="n"/>
      <c r="P38" s="13" t="n"/>
      <c r="Q38" s="13" t="n"/>
      <c r="R38" s="11" t="n"/>
      <c r="S38" s="11" t="n"/>
      <c r="T38" s="11" t="n"/>
      <c r="V38" s="14" t="n"/>
      <c r="W38" s="14" t="n"/>
      <c r="X38" s="14" t="n"/>
    </row>
    <row r="39">
      <c r="A39" s="11" t="n"/>
      <c r="B39">
        <f>IFERROR(INDEX(Universe!$B$3:$B$3002, MATCH($A39, Universe!$A$3:$A$3002, 0)),"")</f>
        <v/>
      </c>
      <c r="C39">
        <f>IFERROR(INDEX(Universe!$D$3:$D$3002, MATCH($A39, Universe!$A$3:$A$3002, 0)),"")</f>
        <v/>
      </c>
      <c r="D39" s="5" t="n"/>
      <c r="E39" s="5" t="n"/>
      <c r="F39" s="5" t="n"/>
      <c r="G39" s="12" t="n"/>
      <c r="H39" s="12" t="n"/>
      <c r="I39" s="12" t="n"/>
      <c r="J39" s="12" t="n"/>
      <c r="K39" s="12" t="n"/>
      <c r="L39" s="12" t="n"/>
      <c r="M39" s="5" t="n"/>
      <c r="N39" s="12" t="n"/>
      <c r="O39" s="12" t="n"/>
      <c r="P39" s="13" t="n"/>
      <c r="Q39" s="13" t="n"/>
      <c r="R39" s="11" t="n"/>
      <c r="S39" s="11" t="n"/>
      <c r="T39" s="11" t="n"/>
      <c r="V39" s="14" t="n"/>
      <c r="W39" s="14" t="n"/>
      <c r="X39" s="14" t="n"/>
    </row>
    <row r="40">
      <c r="A40" s="11" t="n"/>
      <c r="B40">
        <f>IFERROR(INDEX(Universe!$B$3:$B$3002, MATCH($A40, Universe!$A$3:$A$3002, 0)),"")</f>
        <v/>
      </c>
      <c r="C40">
        <f>IFERROR(INDEX(Universe!$D$3:$D$3002, MATCH($A40, Universe!$A$3:$A$3002, 0)),"")</f>
        <v/>
      </c>
      <c r="D40" s="5" t="n"/>
      <c r="E40" s="5" t="n"/>
      <c r="F40" s="5" t="n"/>
      <c r="G40" s="12" t="n"/>
      <c r="H40" s="12" t="n"/>
      <c r="I40" s="12" t="n"/>
      <c r="J40" s="12" t="n"/>
      <c r="K40" s="12" t="n"/>
      <c r="L40" s="12" t="n"/>
      <c r="M40" s="5" t="n"/>
      <c r="N40" s="12" t="n"/>
      <c r="O40" s="12" t="n"/>
      <c r="P40" s="13" t="n"/>
      <c r="Q40" s="13" t="n"/>
      <c r="R40" s="11" t="n"/>
      <c r="S40" s="11" t="n"/>
      <c r="T40" s="11" t="n"/>
      <c r="V40" s="14" t="n"/>
      <c r="W40" s="14" t="n"/>
      <c r="X40" s="14" t="n"/>
    </row>
    <row r="41">
      <c r="A41" s="11" t="n"/>
      <c r="B41">
        <f>IFERROR(INDEX(Universe!$B$3:$B$3002, MATCH($A41, Universe!$A$3:$A$3002, 0)),"")</f>
        <v/>
      </c>
      <c r="C41">
        <f>IFERROR(INDEX(Universe!$D$3:$D$3002, MATCH($A41, Universe!$A$3:$A$3002, 0)),"")</f>
        <v/>
      </c>
      <c r="D41" s="5" t="n"/>
      <c r="E41" s="5" t="n"/>
      <c r="F41" s="5" t="n"/>
      <c r="G41" s="12" t="n"/>
      <c r="H41" s="12" t="n"/>
      <c r="I41" s="12" t="n"/>
      <c r="J41" s="12" t="n"/>
      <c r="K41" s="12" t="n"/>
      <c r="L41" s="12" t="n"/>
      <c r="M41" s="5" t="n"/>
      <c r="N41" s="12" t="n"/>
      <c r="O41" s="12" t="n"/>
      <c r="P41" s="13" t="n"/>
      <c r="Q41" s="13" t="n"/>
      <c r="R41" s="11" t="n"/>
      <c r="S41" s="11" t="n"/>
      <c r="T41" s="11" t="n"/>
      <c r="V41" s="14" t="n"/>
      <c r="W41" s="14" t="n"/>
      <c r="X41" s="14" t="n"/>
    </row>
    <row r="42">
      <c r="A42" s="11" t="n"/>
      <c r="B42">
        <f>IFERROR(INDEX(Universe!$B$3:$B$3002, MATCH($A42, Universe!$A$3:$A$3002, 0)),"")</f>
        <v/>
      </c>
      <c r="C42">
        <f>IFERROR(INDEX(Universe!$D$3:$D$3002, MATCH($A42, Universe!$A$3:$A$3002, 0)),"")</f>
        <v/>
      </c>
      <c r="D42" s="5" t="n"/>
      <c r="E42" s="5" t="n"/>
      <c r="F42" s="5" t="n"/>
      <c r="G42" s="12" t="n"/>
      <c r="H42" s="12" t="n"/>
      <c r="I42" s="12" t="n"/>
      <c r="J42" s="12" t="n"/>
      <c r="K42" s="12" t="n"/>
      <c r="L42" s="12" t="n"/>
      <c r="M42" s="5" t="n"/>
      <c r="N42" s="12" t="n"/>
      <c r="O42" s="12" t="n"/>
      <c r="P42" s="13" t="n"/>
      <c r="Q42" s="13" t="n"/>
      <c r="R42" s="11" t="n"/>
      <c r="S42" s="11" t="n"/>
      <c r="T42" s="11" t="n"/>
      <c r="V42" s="14" t="n"/>
      <c r="W42" s="14" t="n"/>
      <c r="X42" s="14" t="n"/>
    </row>
    <row r="43">
      <c r="A43" s="11" t="n"/>
      <c r="B43">
        <f>IFERROR(INDEX(Universe!$B$3:$B$3002, MATCH($A43, Universe!$A$3:$A$3002, 0)),"")</f>
        <v/>
      </c>
      <c r="C43">
        <f>IFERROR(INDEX(Universe!$D$3:$D$3002, MATCH($A43, Universe!$A$3:$A$3002, 0)),"")</f>
        <v/>
      </c>
      <c r="D43" s="5" t="n"/>
      <c r="E43" s="5" t="n"/>
      <c r="F43" s="5" t="n"/>
      <c r="G43" s="12" t="n"/>
      <c r="H43" s="12" t="n"/>
      <c r="I43" s="12" t="n"/>
      <c r="J43" s="12" t="n"/>
      <c r="K43" s="12" t="n"/>
      <c r="L43" s="12" t="n"/>
      <c r="M43" s="5" t="n"/>
      <c r="N43" s="12" t="n"/>
      <c r="O43" s="12" t="n"/>
      <c r="P43" s="13" t="n"/>
      <c r="Q43" s="13" t="n"/>
      <c r="R43" s="11" t="n"/>
      <c r="S43" s="11" t="n"/>
      <c r="T43" s="11" t="n"/>
      <c r="V43" s="14" t="n"/>
      <c r="W43" s="14" t="n"/>
      <c r="X43" s="14" t="n"/>
    </row>
    <row r="44">
      <c r="A44" s="11" t="n"/>
      <c r="B44">
        <f>IFERROR(INDEX(Universe!$B$3:$B$3002, MATCH($A44, Universe!$A$3:$A$3002, 0)),"")</f>
        <v/>
      </c>
      <c r="C44">
        <f>IFERROR(INDEX(Universe!$D$3:$D$3002, MATCH($A44, Universe!$A$3:$A$3002, 0)),"")</f>
        <v/>
      </c>
      <c r="D44" s="5" t="n"/>
      <c r="E44" s="5" t="n"/>
      <c r="F44" s="5" t="n"/>
      <c r="G44" s="12" t="n"/>
      <c r="H44" s="12" t="n"/>
      <c r="I44" s="12" t="n"/>
      <c r="J44" s="12" t="n"/>
      <c r="K44" s="12" t="n"/>
      <c r="L44" s="12" t="n"/>
      <c r="M44" s="5" t="n"/>
      <c r="N44" s="12" t="n"/>
      <c r="O44" s="12" t="n"/>
      <c r="P44" s="13" t="n"/>
      <c r="Q44" s="13" t="n"/>
      <c r="R44" s="11" t="n"/>
      <c r="S44" s="11" t="n"/>
      <c r="T44" s="11" t="n"/>
      <c r="V44" s="14" t="n"/>
      <c r="W44" s="14" t="n"/>
      <c r="X44" s="14" t="n"/>
    </row>
    <row r="45">
      <c r="A45" s="11" t="n"/>
      <c r="B45">
        <f>IFERROR(INDEX(Universe!$B$3:$B$3002, MATCH($A45, Universe!$A$3:$A$3002, 0)),"")</f>
        <v/>
      </c>
      <c r="C45">
        <f>IFERROR(INDEX(Universe!$D$3:$D$3002, MATCH($A45, Universe!$A$3:$A$3002, 0)),"")</f>
        <v/>
      </c>
      <c r="D45" s="5" t="n"/>
      <c r="E45" s="5" t="n"/>
      <c r="F45" s="5" t="n"/>
      <c r="G45" s="12" t="n"/>
      <c r="H45" s="12" t="n"/>
      <c r="I45" s="12" t="n"/>
      <c r="J45" s="12" t="n"/>
      <c r="K45" s="12" t="n"/>
      <c r="L45" s="12" t="n"/>
      <c r="M45" s="5" t="n"/>
      <c r="N45" s="12" t="n"/>
      <c r="O45" s="12" t="n"/>
      <c r="P45" s="13" t="n"/>
      <c r="Q45" s="13" t="n"/>
      <c r="R45" s="11" t="n"/>
      <c r="S45" s="11" t="n"/>
      <c r="T45" s="11" t="n"/>
      <c r="V45" s="14" t="n"/>
      <c r="W45" s="14" t="n"/>
      <c r="X45" s="14" t="n"/>
    </row>
    <row r="46">
      <c r="A46" s="11" t="n"/>
      <c r="B46">
        <f>IFERROR(INDEX(Universe!$B$3:$B$3002, MATCH($A46, Universe!$A$3:$A$3002, 0)),"")</f>
        <v/>
      </c>
      <c r="C46">
        <f>IFERROR(INDEX(Universe!$D$3:$D$3002, MATCH($A46, Universe!$A$3:$A$3002, 0)),"")</f>
        <v/>
      </c>
      <c r="D46" s="5" t="n"/>
      <c r="E46" s="5" t="n"/>
      <c r="F46" s="5" t="n"/>
      <c r="G46" s="12" t="n"/>
      <c r="H46" s="12" t="n"/>
      <c r="I46" s="12" t="n"/>
      <c r="J46" s="12" t="n"/>
      <c r="K46" s="12" t="n"/>
      <c r="L46" s="12" t="n"/>
      <c r="M46" s="5" t="n"/>
      <c r="N46" s="12" t="n"/>
      <c r="O46" s="12" t="n"/>
      <c r="P46" s="13" t="n"/>
      <c r="Q46" s="13" t="n"/>
      <c r="R46" s="11" t="n"/>
      <c r="S46" s="11" t="n"/>
      <c r="T46" s="11" t="n"/>
      <c r="V46" s="14" t="n"/>
      <c r="W46" s="14" t="n"/>
      <c r="X46" s="14" t="n"/>
    </row>
    <row r="47">
      <c r="A47" s="11" t="n"/>
      <c r="B47">
        <f>IFERROR(INDEX(Universe!$B$3:$B$3002, MATCH($A47, Universe!$A$3:$A$3002, 0)),"")</f>
        <v/>
      </c>
      <c r="C47">
        <f>IFERROR(INDEX(Universe!$D$3:$D$3002, MATCH($A47, Universe!$A$3:$A$3002, 0)),"")</f>
        <v/>
      </c>
      <c r="D47" s="5" t="n"/>
      <c r="E47" s="5" t="n"/>
      <c r="F47" s="5" t="n"/>
      <c r="G47" s="12" t="n"/>
      <c r="H47" s="12" t="n"/>
      <c r="I47" s="12" t="n"/>
      <c r="J47" s="12" t="n"/>
      <c r="K47" s="12" t="n"/>
      <c r="L47" s="12" t="n"/>
      <c r="M47" s="5" t="n"/>
      <c r="N47" s="12" t="n"/>
      <c r="O47" s="12" t="n"/>
      <c r="P47" s="13" t="n"/>
      <c r="Q47" s="13" t="n"/>
      <c r="R47" s="11" t="n"/>
      <c r="S47" s="11" t="n"/>
      <c r="T47" s="11" t="n"/>
      <c r="V47" s="14" t="n"/>
      <c r="W47" s="14" t="n"/>
      <c r="X47" s="14" t="n"/>
    </row>
    <row r="48">
      <c r="A48" s="11" t="n"/>
      <c r="B48">
        <f>IFERROR(INDEX(Universe!$B$3:$B$3002, MATCH($A48, Universe!$A$3:$A$3002, 0)),"")</f>
        <v/>
      </c>
      <c r="C48">
        <f>IFERROR(INDEX(Universe!$D$3:$D$3002, MATCH($A48, Universe!$A$3:$A$3002, 0)),"")</f>
        <v/>
      </c>
      <c r="D48" s="5" t="n"/>
      <c r="E48" s="5" t="n"/>
      <c r="F48" s="5" t="n"/>
      <c r="G48" s="12" t="n"/>
      <c r="H48" s="12" t="n"/>
      <c r="I48" s="12" t="n"/>
      <c r="J48" s="12" t="n"/>
      <c r="K48" s="12" t="n"/>
      <c r="L48" s="12" t="n"/>
      <c r="M48" s="5" t="n"/>
      <c r="N48" s="12" t="n"/>
      <c r="O48" s="12" t="n"/>
      <c r="P48" s="13" t="n"/>
      <c r="Q48" s="13" t="n"/>
      <c r="R48" s="11" t="n"/>
      <c r="S48" s="11" t="n"/>
      <c r="T48" s="11" t="n"/>
      <c r="V48" s="14" t="n"/>
      <c r="W48" s="14" t="n"/>
      <c r="X48" s="14" t="n"/>
    </row>
    <row r="49">
      <c r="A49" s="11" t="n"/>
      <c r="B49">
        <f>IFERROR(INDEX(Universe!$B$3:$B$3002, MATCH($A49, Universe!$A$3:$A$3002, 0)),"")</f>
        <v/>
      </c>
      <c r="C49">
        <f>IFERROR(INDEX(Universe!$D$3:$D$3002, MATCH($A49, Universe!$A$3:$A$3002, 0)),"")</f>
        <v/>
      </c>
      <c r="D49" s="5" t="n"/>
      <c r="E49" s="5" t="n"/>
      <c r="F49" s="5" t="n"/>
      <c r="G49" s="12" t="n"/>
      <c r="H49" s="12" t="n"/>
      <c r="I49" s="12" t="n"/>
      <c r="J49" s="12" t="n"/>
      <c r="K49" s="12" t="n"/>
      <c r="L49" s="12" t="n"/>
      <c r="M49" s="5" t="n"/>
      <c r="N49" s="12" t="n"/>
      <c r="O49" s="12" t="n"/>
      <c r="P49" s="13" t="n"/>
      <c r="Q49" s="13" t="n"/>
      <c r="R49" s="11" t="n"/>
      <c r="S49" s="11" t="n"/>
      <c r="T49" s="11" t="n"/>
      <c r="V49" s="14" t="n"/>
      <c r="W49" s="14" t="n"/>
      <c r="X49" s="14" t="n"/>
    </row>
    <row r="50">
      <c r="A50" s="11" t="n"/>
      <c r="B50">
        <f>IFERROR(INDEX(Universe!$B$3:$B$3002, MATCH($A50, Universe!$A$3:$A$3002, 0)),"")</f>
        <v/>
      </c>
      <c r="C50">
        <f>IFERROR(INDEX(Universe!$D$3:$D$3002, MATCH($A50, Universe!$A$3:$A$3002, 0)),"")</f>
        <v/>
      </c>
      <c r="D50" s="5" t="n"/>
      <c r="E50" s="5" t="n"/>
      <c r="F50" s="5" t="n"/>
      <c r="G50" s="12" t="n"/>
      <c r="H50" s="12" t="n"/>
      <c r="I50" s="12" t="n"/>
      <c r="J50" s="12" t="n"/>
      <c r="K50" s="12" t="n"/>
      <c r="L50" s="12" t="n"/>
      <c r="M50" s="5" t="n"/>
      <c r="N50" s="12" t="n"/>
      <c r="O50" s="12" t="n"/>
      <c r="P50" s="13" t="n"/>
      <c r="Q50" s="13" t="n"/>
      <c r="R50" s="11" t="n"/>
      <c r="S50" s="11" t="n"/>
      <c r="T50" s="11" t="n"/>
      <c r="V50" s="14" t="n"/>
      <c r="W50" s="14" t="n"/>
      <c r="X50" s="14" t="n"/>
    </row>
    <row r="51">
      <c r="A51" s="11" t="n"/>
      <c r="B51">
        <f>IFERROR(INDEX(Universe!$B$3:$B$3002, MATCH($A51, Universe!$A$3:$A$3002, 0)),"")</f>
        <v/>
      </c>
      <c r="C51">
        <f>IFERROR(INDEX(Universe!$D$3:$D$3002, MATCH($A51, Universe!$A$3:$A$3002, 0)),"")</f>
        <v/>
      </c>
      <c r="D51" s="5" t="n"/>
      <c r="E51" s="5" t="n"/>
      <c r="F51" s="5" t="n"/>
      <c r="G51" s="12" t="n"/>
      <c r="H51" s="12" t="n"/>
      <c r="I51" s="12" t="n"/>
      <c r="J51" s="12" t="n"/>
      <c r="K51" s="12" t="n"/>
      <c r="L51" s="12" t="n"/>
      <c r="M51" s="5" t="n"/>
      <c r="N51" s="12" t="n"/>
      <c r="O51" s="12" t="n"/>
      <c r="P51" s="13" t="n"/>
      <c r="Q51" s="13" t="n"/>
      <c r="R51" s="11" t="n"/>
      <c r="S51" s="11" t="n"/>
      <c r="T51" s="11" t="n"/>
      <c r="V51" s="14" t="n"/>
      <c r="W51" s="14" t="n"/>
      <c r="X51" s="14" t="n"/>
    </row>
    <row r="52">
      <c r="A52" s="11" t="n"/>
      <c r="B52">
        <f>IFERROR(INDEX(Universe!$B$3:$B$3002, MATCH($A52, Universe!$A$3:$A$3002, 0)),"")</f>
        <v/>
      </c>
      <c r="C52">
        <f>IFERROR(INDEX(Universe!$D$3:$D$3002, MATCH($A52, Universe!$A$3:$A$3002, 0)),"")</f>
        <v/>
      </c>
      <c r="D52" s="5" t="n"/>
      <c r="E52" s="5" t="n"/>
      <c r="F52" s="5" t="n"/>
      <c r="G52" s="12" t="n"/>
      <c r="H52" s="12" t="n"/>
      <c r="I52" s="12" t="n"/>
      <c r="J52" s="12" t="n"/>
      <c r="K52" s="12" t="n"/>
      <c r="L52" s="12" t="n"/>
      <c r="M52" s="5" t="n"/>
      <c r="N52" s="12" t="n"/>
      <c r="O52" s="12" t="n"/>
      <c r="P52" s="13" t="n"/>
      <c r="Q52" s="13" t="n"/>
      <c r="R52" s="11" t="n"/>
      <c r="S52" s="11" t="n"/>
      <c r="T52" s="11" t="n"/>
      <c r="V52" s="14" t="n"/>
      <c r="W52" s="14" t="n"/>
      <c r="X52" s="14" t="n"/>
    </row>
    <row r="53">
      <c r="A53" s="11" t="n"/>
      <c r="B53">
        <f>IFERROR(INDEX(Universe!$B$3:$B$3002, MATCH($A53, Universe!$A$3:$A$3002, 0)),"")</f>
        <v/>
      </c>
      <c r="C53">
        <f>IFERROR(INDEX(Universe!$D$3:$D$3002, MATCH($A53, Universe!$A$3:$A$3002, 0)),"")</f>
        <v/>
      </c>
      <c r="D53" s="5" t="n"/>
      <c r="E53" s="5" t="n"/>
      <c r="F53" s="5" t="n"/>
      <c r="G53" s="12" t="n"/>
      <c r="H53" s="12" t="n"/>
      <c r="I53" s="12" t="n"/>
      <c r="J53" s="12" t="n"/>
      <c r="K53" s="12" t="n"/>
      <c r="L53" s="12" t="n"/>
      <c r="M53" s="5" t="n"/>
      <c r="N53" s="12" t="n"/>
      <c r="O53" s="12" t="n"/>
      <c r="P53" s="13" t="n"/>
      <c r="Q53" s="13" t="n"/>
      <c r="R53" s="11" t="n"/>
      <c r="S53" s="11" t="n"/>
      <c r="T53" s="11" t="n"/>
      <c r="V53" s="14" t="n"/>
      <c r="W53" s="14" t="n"/>
      <c r="X53" s="14" t="n"/>
    </row>
    <row r="54">
      <c r="A54" s="11" t="n"/>
      <c r="B54">
        <f>IFERROR(INDEX(Universe!$B$3:$B$3002, MATCH($A54, Universe!$A$3:$A$3002, 0)),"")</f>
        <v/>
      </c>
      <c r="C54">
        <f>IFERROR(INDEX(Universe!$D$3:$D$3002, MATCH($A54, Universe!$A$3:$A$3002, 0)),"")</f>
        <v/>
      </c>
      <c r="D54" s="5" t="n"/>
      <c r="E54" s="5" t="n"/>
      <c r="F54" s="5" t="n"/>
      <c r="G54" s="12" t="n"/>
      <c r="H54" s="12" t="n"/>
      <c r="I54" s="12" t="n"/>
      <c r="J54" s="12" t="n"/>
      <c r="K54" s="12" t="n"/>
      <c r="L54" s="12" t="n"/>
      <c r="M54" s="5" t="n"/>
      <c r="N54" s="12" t="n"/>
      <c r="O54" s="12" t="n"/>
      <c r="P54" s="13" t="n"/>
      <c r="Q54" s="13" t="n"/>
      <c r="R54" s="11" t="n"/>
      <c r="S54" s="11" t="n"/>
      <c r="T54" s="11" t="n"/>
      <c r="V54" s="14" t="n"/>
      <c r="W54" s="14" t="n"/>
      <c r="X54" s="14" t="n"/>
    </row>
    <row r="55">
      <c r="A55" s="11" t="n"/>
      <c r="B55">
        <f>IFERROR(INDEX(Universe!$B$3:$B$3002, MATCH($A55, Universe!$A$3:$A$3002, 0)),"")</f>
        <v/>
      </c>
      <c r="C55">
        <f>IFERROR(INDEX(Universe!$D$3:$D$3002, MATCH($A55, Universe!$A$3:$A$3002, 0)),"")</f>
        <v/>
      </c>
      <c r="D55" s="5" t="n"/>
      <c r="E55" s="5" t="n"/>
      <c r="F55" s="5" t="n"/>
      <c r="G55" s="12" t="n"/>
      <c r="H55" s="12" t="n"/>
      <c r="I55" s="12" t="n"/>
      <c r="J55" s="12" t="n"/>
      <c r="K55" s="12" t="n"/>
      <c r="L55" s="12" t="n"/>
      <c r="M55" s="5" t="n"/>
      <c r="N55" s="12" t="n"/>
      <c r="O55" s="12" t="n"/>
      <c r="P55" s="13" t="n"/>
      <c r="Q55" s="13" t="n"/>
      <c r="R55" s="11" t="n"/>
      <c r="S55" s="11" t="n"/>
      <c r="T55" s="11" t="n"/>
      <c r="V55" s="14" t="n"/>
      <c r="W55" s="14" t="n"/>
      <c r="X55" s="14" t="n"/>
    </row>
    <row r="56">
      <c r="A56" s="11" t="n"/>
      <c r="B56">
        <f>IFERROR(INDEX(Universe!$B$3:$B$3002, MATCH($A56, Universe!$A$3:$A$3002, 0)),"")</f>
        <v/>
      </c>
      <c r="C56">
        <f>IFERROR(INDEX(Universe!$D$3:$D$3002, MATCH($A56, Universe!$A$3:$A$3002, 0)),"")</f>
        <v/>
      </c>
      <c r="D56" s="5" t="n"/>
      <c r="E56" s="5" t="n"/>
      <c r="F56" s="5" t="n"/>
      <c r="G56" s="12" t="n"/>
      <c r="H56" s="12" t="n"/>
      <c r="I56" s="12" t="n"/>
      <c r="J56" s="12" t="n"/>
      <c r="K56" s="12" t="n"/>
      <c r="L56" s="12" t="n"/>
      <c r="M56" s="5" t="n"/>
      <c r="N56" s="12" t="n"/>
      <c r="O56" s="12" t="n"/>
      <c r="P56" s="13" t="n"/>
      <c r="Q56" s="13" t="n"/>
      <c r="R56" s="11" t="n"/>
      <c r="S56" s="11" t="n"/>
      <c r="T56" s="11" t="n"/>
      <c r="V56" s="14" t="n"/>
      <c r="W56" s="14" t="n"/>
      <c r="X56" s="14" t="n"/>
    </row>
    <row r="57">
      <c r="A57" s="11" t="n"/>
      <c r="B57">
        <f>IFERROR(INDEX(Universe!$B$3:$B$3002, MATCH($A57, Universe!$A$3:$A$3002, 0)),"")</f>
        <v/>
      </c>
      <c r="C57">
        <f>IFERROR(INDEX(Universe!$D$3:$D$3002, MATCH($A57, Universe!$A$3:$A$3002, 0)),"")</f>
        <v/>
      </c>
      <c r="D57" s="5" t="n"/>
      <c r="E57" s="5" t="n"/>
      <c r="F57" s="5" t="n"/>
      <c r="G57" s="12" t="n"/>
      <c r="H57" s="12" t="n"/>
      <c r="I57" s="12" t="n"/>
      <c r="J57" s="12" t="n"/>
      <c r="K57" s="12" t="n"/>
      <c r="L57" s="12" t="n"/>
      <c r="M57" s="5" t="n"/>
      <c r="N57" s="12" t="n"/>
      <c r="O57" s="12" t="n"/>
      <c r="P57" s="13" t="n"/>
      <c r="Q57" s="13" t="n"/>
      <c r="R57" s="11" t="n"/>
      <c r="S57" s="11" t="n"/>
      <c r="T57" s="11" t="n"/>
      <c r="V57" s="14" t="n"/>
      <c r="W57" s="14" t="n"/>
      <c r="X57" s="14" t="n"/>
    </row>
    <row r="58">
      <c r="A58" s="11" t="n"/>
      <c r="B58">
        <f>IFERROR(INDEX(Universe!$B$3:$B$3002, MATCH($A58, Universe!$A$3:$A$3002, 0)),"")</f>
        <v/>
      </c>
      <c r="C58">
        <f>IFERROR(INDEX(Universe!$D$3:$D$3002, MATCH($A58, Universe!$A$3:$A$3002, 0)),"")</f>
        <v/>
      </c>
      <c r="D58" s="5" t="n"/>
      <c r="E58" s="5" t="n"/>
      <c r="F58" s="5" t="n"/>
      <c r="G58" s="12" t="n"/>
      <c r="H58" s="12" t="n"/>
      <c r="I58" s="12" t="n"/>
      <c r="J58" s="12" t="n"/>
      <c r="K58" s="12" t="n"/>
      <c r="L58" s="12" t="n"/>
      <c r="M58" s="5" t="n"/>
      <c r="N58" s="12" t="n"/>
      <c r="O58" s="12" t="n"/>
      <c r="P58" s="13" t="n"/>
      <c r="Q58" s="13" t="n"/>
      <c r="R58" s="11" t="n"/>
      <c r="S58" s="11" t="n"/>
      <c r="T58" s="11" t="n"/>
      <c r="V58" s="14" t="n"/>
      <c r="W58" s="14" t="n"/>
      <c r="X58" s="14" t="n"/>
    </row>
    <row r="59">
      <c r="A59" s="11" t="n"/>
      <c r="B59">
        <f>IFERROR(INDEX(Universe!$B$3:$B$3002, MATCH($A59, Universe!$A$3:$A$3002, 0)),"")</f>
        <v/>
      </c>
      <c r="C59">
        <f>IFERROR(INDEX(Universe!$D$3:$D$3002, MATCH($A59, Universe!$A$3:$A$3002, 0)),"")</f>
        <v/>
      </c>
      <c r="D59" s="5" t="n"/>
      <c r="E59" s="5" t="n"/>
      <c r="F59" s="5" t="n"/>
      <c r="G59" s="12" t="n"/>
      <c r="H59" s="12" t="n"/>
      <c r="I59" s="12" t="n"/>
      <c r="J59" s="12" t="n"/>
      <c r="K59" s="12" t="n"/>
      <c r="L59" s="12" t="n"/>
      <c r="M59" s="5" t="n"/>
      <c r="N59" s="12" t="n"/>
      <c r="O59" s="12" t="n"/>
      <c r="P59" s="13" t="n"/>
      <c r="Q59" s="13" t="n"/>
      <c r="R59" s="11" t="n"/>
      <c r="S59" s="11" t="n"/>
      <c r="T59" s="11" t="n"/>
      <c r="V59" s="14" t="n"/>
      <c r="W59" s="14" t="n"/>
      <c r="X59" s="14" t="n"/>
    </row>
    <row r="60">
      <c r="A60" s="11" t="n"/>
      <c r="B60">
        <f>IFERROR(INDEX(Universe!$B$3:$B$3002, MATCH($A60, Universe!$A$3:$A$3002, 0)),"")</f>
        <v/>
      </c>
      <c r="C60">
        <f>IFERROR(INDEX(Universe!$D$3:$D$3002, MATCH($A60, Universe!$A$3:$A$3002, 0)),"")</f>
        <v/>
      </c>
      <c r="D60" s="5" t="n"/>
      <c r="E60" s="5" t="n"/>
      <c r="F60" s="5" t="n"/>
      <c r="G60" s="12" t="n"/>
      <c r="H60" s="12" t="n"/>
      <c r="I60" s="12" t="n"/>
      <c r="J60" s="12" t="n"/>
      <c r="K60" s="12" t="n"/>
      <c r="L60" s="12" t="n"/>
      <c r="M60" s="5" t="n"/>
      <c r="N60" s="12" t="n"/>
      <c r="O60" s="12" t="n"/>
      <c r="P60" s="13" t="n"/>
      <c r="Q60" s="13" t="n"/>
      <c r="R60" s="11" t="n"/>
      <c r="S60" s="11" t="n"/>
      <c r="T60" s="11" t="n"/>
      <c r="V60" s="14" t="n"/>
      <c r="W60" s="14" t="n"/>
      <c r="X60" s="14" t="n"/>
    </row>
    <row r="61">
      <c r="A61" s="11" t="n"/>
      <c r="B61">
        <f>IFERROR(INDEX(Universe!$B$3:$B$3002, MATCH($A61, Universe!$A$3:$A$3002, 0)),"")</f>
        <v/>
      </c>
      <c r="C61">
        <f>IFERROR(INDEX(Universe!$D$3:$D$3002, MATCH($A61, Universe!$A$3:$A$3002, 0)),"")</f>
        <v/>
      </c>
      <c r="D61" s="5" t="n"/>
      <c r="E61" s="5" t="n"/>
      <c r="F61" s="5" t="n"/>
      <c r="G61" s="12" t="n"/>
      <c r="H61" s="12" t="n"/>
      <c r="I61" s="12" t="n"/>
      <c r="J61" s="12" t="n"/>
      <c r="K61" s="12" t="n"/>
      <c r="L61" s="12" t="n"/>
      <c r="M61" s="5" t="n"/>
      <c r="N61" s="12" t="n"/>
      <c r="O61" s="12" t="n"/>
      <c r="P61" s="13" t="n"/>
      <c r="Q61" s="13" t="n"/>
      <c r="R61" s="11" t="n"/>
      <c r="S61" s="11" t="n"/>
      <c r="T61" s="11" t="n"/>
      <c r="V61" s="14" t="n"/>
      <c r="W61" s="14" t="n"/>
      <c r="X61" s="14" t="n"/>
    </row>
    <row r="62">
      <c r="A62" s="11" t="n"/>
      <c r="B62">
        <f>IFERROR(INDEX(Universe!$B$3:$B$3002, MATCH($A62, Universe!$A$3:$A$3002, 0)),"")</f>
        <v/>
      </c>
      <c r="C62">
        <f>IFERROR(INDEX(Universe!$D$3:$D$3002, MATCH($A62, Universe!$A$3:$A$3002, 0)),"")</f>
        <v/>
      </c>
      <c r="D62" s="5" t="n"/>
      <c r="E62" s="5" t="n"/>
      <c r="F62" s="5" t="n"/>
      <c r="G62" s="12" t="n"/>
      <c r="H62" s="12" t="n"/>
      <c r="I62" s="12" t="n"/>
      <c r="J62" s="12" t="n"/>
      <c r="K62" s="12" t="n"/>
      <c r="L62" s="12" t="n"/>
      <c r="M62" s="5" t="n"/>
      <c r="N62" s="12" t="n"/>
      <c r="O62" s="12" t="n"/>
      <c r="P62" s="13" t="n"/>
      <c r="Q62" s="13" t="n"/>
      <c r="R62" s="11" t="n"/>
      <c r="S62" s="11" t="n"/>
      <c r="T62" s="11" t="n"/>
      <c r="V62" s="14" t="n"/>
      <c r="W62" s="14" t="n"/>
      <c r="X62" s="14" t="n"/>
    </row>
    <row r="63">
      <c r="A63" s="11" t="n"/>
      <c r="B63">
        <f>IFERROR(INDEX(Universe!$B$3:$B$3002, MATCH($A63, Universe!$A$3:$A$3002, 0)),"")</f>
        <v/>
      </c>
      <c r="C63">
        <f>IFERROR(INDEX(Universe!$D$3:$D$3002, MATCH($A63, Universe!$A$3:$A$3002, 0)),"")</f>
        <v/>
      </c>
      <c r="D63" s="5" t="n"/>
      <c r="E63" s="5" t="n"/>
      <c r="F63" s="5" t="n"/>
      <c r="G63" s="12" t="n"/>
      <c r="H63" s="12" t="n"/>
      <c r="I63" s="12" t="n"/>
      <c r="J63" s="12" t="n"/>
      <c r="K63" s="12" t="n"/>
      <c r="L63" s="12" t="n"/>
      <c r="M63" s="5" t="n"/>
      <c r="N63" s="12" t="n"/>
      <c r="O63" s="12" t="n"/>
      <c r="P63" s="13" t="n"/>
      <c r="Q63" s="13" t="n"/>
      <c r="R63" s="11" t="n"/>
      <c r="S63" s="11" t="n"/>
      <c r="T63" s="11" t="n"/>
      <c r="V63" s="14" t="n"/>
      <c r="W63" s="14" t="n"/>
      <c r="X63" s="14" t="n"/>
    </row>
    <row r="64">
      <c r="A64" s="11" t="n"/>
      <c r="B64">
        <f>IFERROR(INDEX(Universe!$B$3:$B$3002, MATCH($A64, Universe!$A$3:$A$3002, 0)),"")</f>
        <v/>
      </c>
      <c r="C64">
        <f>IFERROR(INDEX(Universe!$D$3:$D$3002, MATCH($A64, Universe!$A$3:$A$3002, 0)),"")</f>
        <v/>
      </c>
      <c r="D64" s="5" t="n"/>
      <c r="E64" s="5" t="n"/>
      <c r="F64" s="5" t="n"/>
      <c r="G64" s="12" t="n"/>
      <c r="H64" s="12" t="n"/>
      <c r="I64" s="12" t="n"/>
      <c r="J64" s="12" t="n"/>
      <c r="K64" s="12" t="n"/>
      <c r="L64" s="12" t="n"/>
      <c r="M64" s="5" t="n"/>
      <c r="N64" s="12" t="n"/>
      <c r="O64" s="12" t="n"/>
      <c r="P64" s="13" t="n"/>
      <c r="Q64" s="13" t="n"/>
      <c r="R64" s="11" t="n"/>
      <c r="S64" s="11" t="n"/>
      <c r="T64" s="11" t="n"/>
      <c r="V64" s="14" t="n"/>
      <c r="W64" s="14" t="n"/>
      <c r="X64" s="14" t="n"/>
    </row>
    <row r="65">
      <c r="A65" s="11" t="n"/>
      <c r="B65">
        <f>IFERROR(INDEX(Universe!$B$3:$B$3002, MATCH($A65, Universe!$A$3:$A$3002, 0)),"")</f>
        <v/>
      </c>
      <c r="C65">
        <f>IFERROR(INDEX(Universe!$D$3:$D$3002, MATCH($A65, Universe!$A$3:$A$3002, 0)),"")</f>
        <v/>
      </c>
      <c r="D65" s="5" t="n"/>
      <c r="E65" s="5" t="n"/>
      <c r="F65" s="5" t="n"/>
      <c r="G65" s="12" t="n"/>
      <c r="H65" s="12" t="n"/>
      <c r="I65" s="12" t="n"/>
      <c r="J65" s="12" t="n"/>
      <c r="K65" s="12" t="n"/>
      <c r="L65" s="12" t="n"/>
      <c r="M65" s="5" t="n"/>
      <c r="N65" s="12" t="n"/>
      <c r="O65" s="12" t="n"/>
      <c r="P65" s="13" t="n"/>
      <c r="Q65" s="13" t="n"/>
      <c r="R65" s="11" t="n"/>
      <c r="S65" s="11" t="n"/>
      <c r="T65" s="11" t="n"/>
      <c r="V65" s="14" t="n"/>
      <c r="W65" s="14" t="n"/>
      <c r="X65" s="14" t="n"/>
    </row>
    <row r="66">
      <c r="A66" s="11" t="n"/>
      <c r="B66">
        <f>IFERROR(INDEX(Universe!$B$3:$B$3002, MATCH($A66, Universe!$A$3:$A$3002, 0)),"")</f>
        <v/>
      </c>
      <c r="C66">
        <f>IFERROR(INDEX(Universe!$D$3:$D$3002, MATCH($A66, Universe!$A$3:$A$3002, 0)),"")</f>
        <v/>
      </c>
      <c r="D66" s="5" t="n"/>
      <c r="E66" s="5" t="n"/>
      <c r="F66" s="5" t="n"/>
      <c r="G66" s="12" t="n"/>
      <c r="H66" s="12" t="n"/>
      <c r="I66" s="12" t="n"/>
      <c r="J66" s="12" t="n"/>
      <c r="K66" s="12" t="n"/>
      <c r="L66" s="12" t="n"/>
      <c r="M66" s="5" t="n"/>
      <c r="N66" s="12" t="n"/>
      <c r="O66" s="12" t="n"/>
      <c r="P66" s="13" t="n"/>
      <c r="Q66" s="13" t="n"/>
      <c r="R66" s="11" t="n"/>
      <c r="S66" s="11" t="n"/>
      <c r="T66" s="11" t="n"/>
      <c r="V66" s="14" t="n"/>
      <c r="W66" s="14" t="n"/>
      <c r="X66" s="14" t="n"/>
    </row>
    <row r="67">
      <c r="A67" s="11" t="n"/>
      <c r="B67">
        <f>IFERROR(INDEX(Universe!$B$3:$B$3002, MATCH($A67, Universe!$A$3:$A$3002, 0)),"")</f>
        <v/>
      </c>
      <c r="C67">
        <f>IFERROR(INDEX(Universe!$D$3:$D$3002, MATCH($A67, Universe!$A$3:$A$3002, 0)),"")</f>
        <v/>
      </c>
      <c r="D67" s="5" t="n"/>
      <c r="E67" s="5" t="n"/>
      <c r="F67" s="5" t="n"/>
      <c r="G67" s="12" t="n"/>
      <c r="H67" s="12" t="n"/>
      <c r="I67" s="12" t="n"/>
      <c r="J67" s="12" t="n"/>
      <c r="K67" s="12" t="n"/>
      <c r="L67" s="12" t="n"/>
      <c r="M67" s="5" t="n"/>
      <c r="N67" s="12" t="n"/>
      <c r="O67" s="12" t="n"/>
      <c r="P67" s="13" t="n"/>
      <c r="Q67" s="13" t="n"/>
      <c r="R67" s="11" t="n"/>
      <c r="S67" s="11" t="n"/>
      <c r="T67" s="11" t="n"/>
      <c r="V67" s="14" t="n"/>
      <c r="W67" s="14" t="n"/>
      <c r="X67" s="14" t="n"/>
    </row>
    <row r="68">
      <c r="A68" s="11" t="n"/>
      <c r="B68">
        <f>IFERROR(INDEX(Universe!$B$3:$B$3002, MATCH($A68, Universe!$A$3:$A$3002, 0)),"")</f>
        <v/>
      </c>
      <c r="C68">
        <f>IFERROR(INDEX(Universe!$D$3:$D$3002, MATCH($A68, Universe!$A$3:$A$3002, 0)),"")</f>
        <v/>
      </c>
      <c r="D68" s="5" t="n"/>
      <c r="E68" s="5" t="n"/>
      <c r="F68" s="5" t="n"/>
      <c r="G68" s="12" t="n"/>
      <c r="H68" s="12" t="n"/>
      <c r="I68" s="12" t="n"/>
      <c r="J68" s="12" t="n"/>
      <c r="K68" s="12" t="n"/>
      <c r="L68" s="12" t="n"/>
      <c r="M68" s="5" t="n"/>
      <c r="N68" s="12" t="n"/>
      <c r="O68" s="12" t="n"/>
      <c r="P68" s="13" t="n"/>
      <c r="Q68" s="13" t="n"/>
      <c r="R68" s="11" t="n"/>
      <c r="S68" s="11" t="n"/>
      <c r="T68" s="11" t="n"/>
      <c r="V68" s="14" t="n"/>
      <c r="W68" s="14" t="n"/>
      <c r="X68" s="14" t="n"/>
    </row>
    <row r="69">
      <c r="A69" s="11" t="n"/>
      <c r="B69">
        <f>IFERROR(INDEX(Universe!$B$3:$B$3002, MATCH($A69, Universe!$A$3:$A$3002, 0)),"")</f>
        <v/>
      </c>
      <c r="C69">
        <f>IFERROR(INDEX(Universe!$D$3:$D$3002, MATCH($A69, Universe!$A$3:$A$3002, 0)),"")</f>
        <v/>
      </c>
      <c r="D69" s="5" t="n"/>
      <c r="E69" s="5" t="n"/>
      <c r="F69" s="5" t="n"/>
      <c r="G69" s="12" t="n"/>
      <c r="H69" s="12" t="n"/>
      <c r="I69" s="12" t="n"/>
      <c r="J69" s="12" t="n"/>
      <c r="K69" s="12" t="n"/>
      <c r="L69" s="12" t="n"/>
      <c r="M69" s="5" t="n"/>
      <c r="N69" s="12" t="n"/>
      <c r="O69" s="12" t="n"/>
      <c r="P69" s="13" t="n"/>
      <c r="Q69" s="13" t="n"/>
      <c r="R69" s="11" t="n"/>
      <c r="S69" s="11" t="n"/>
      <c r="T69" s="11" t="n"/>
      <c r="V69" s="14" t="n"/>
      <c r="W69" s="14" t="n"/>
      <c r="X69" s="14" t="n"/>
    </row>
    <row r="70">
      <c r="A70" s="11" t="n"/>
      <c r="B70">
        <f>IFERROR(INDEX(Universe!$B$3:$B$3002, MATCH($A70, Universe!$A$3:$A$3002, 0)),"")</f>
        <v/>
      </c>
      <c r="C70">
        <f>IFERROR(INDEX(Universe!$D$3:$D$3002, MATCH($A70, Universe!$A$3:$A$3002, 0)),"")</f>
        <v/>
      </c>
      <c r="D70" s="5" t="n"/>
      <c r="E70" s="5" t="n"/>
      <c r="F70" s="5" t="n"/>
      <c r="G70" s="12" t="n"/>
      <c r="H70" s="12" t="n"/>
      <c r="I70" s="12" t="n"/>
      <c r="J70" s="12" t="n"/>
      <c r="K70" s="12" t="n"/>
      <c r="L70" s="12" t="n"/>
      <c r="M70" s="5" t="n"/>
      <c r="N70" s="12" t="n"/>
      <c r="O70" s="12" t="n"/>
      <c r="P70" s="13" t="n"/>
      <c r="Q70" s="13" t="n"/>
      <c r="R70" s="11" t="n"/>
      <c r="S70" s="11" t="n"/>
      <c r="T70" s="11" t="n"/>
      <c r="V70" s="14" t="n"/>
      <c r="W70" s="14" t="n"/>
      <c r="X70" s="14" t="n"/>
    </row>
    <row r="71">
      <c r="A71" s="11" t="n"/>
      <c r="B71">
        <f>IFERROR(INDEX(Universe!$B$3:$B$3002, MATCH($A71, Universe!$A$3:$A$3002, 0)),"")</f>
        <v/>
      </c>
      <c r="C71">
        <f>IFERROR(INDEX(Universe!$D$3:$D$3002, MATCH($A71, Universe!$A$3:$A$3002, 0)),"")</f>
        <v/>
      </c>
      <c r="D71" s="5" t="n"/>
      <c r="E71" s="5" t="n"/>
      <c r="F71" s="5" t="n"/>
      <c r="G71" s="12" t="n"/>
      <c r="H71" s="12" t="n"/>
      <c r="I71" s="12" t="n"/>
      <c r="J71" s="12" t="n"/>
      <c r="K71" s="12" t="n"/>
      <c r="L71" s="12" t="n"/>
      <c r="M71" s="5" t="n"/>
      <c r="N71" s="12" t="n"/>
      <c r="O71" s="12" t="n"/>
      <c r="P71" s="13" t="n"/>
      <c r="Q71" s="13" t="n"/>
      <c r="R71" s="11" t="n"/>
      <c r="S71" s="11" t="n"/>
      <c r="T71" s="11" t="n"/>
      <c r="V71" s="14" t="n"/>
      <c r="W71" s="14" t="n"/>
      <c r="X71" s="14" t="n"/>
    </row>
    <row r="72">
      <c r="A72" s="11" t="n"/>
      <c r="B72">
        <f>IFERROR(INDEX(Universe!$B$3:$B$3002, MATCH($A72, Universe!$A$3:$A$3002, 0)),"")</f>
        <v/>
      </c>
      <c r="C72">
        <f>IFERROR(INDEX(Universe!$D$3:$D$3002, MATCH($A72, Universe!$A$3:$A$3002, 0)),"")</f>
        <v/>
      </c>
      <c r="D72" s="5" t="n"/>
      <c r="E72" s="5" t="n"/>
      <c r="F72" s="5" t="n"/>
      <c r="G72" s="12" t="n"/>
      <c r="H72" s="12" t="n"/>
      <c r="I72" s="12" t="n"/>
      <c r="J72" s="12" t="n"/>
      <c r="K72" s="12" t="n"/>
      <c r="L72" s="12" t="n"/>
      <c r="M72" s="5" t="n"/>
      <c r="N72" s="12" t="n"/>
      <c r="O72" s="12" t="n"/>
      <c r="P72" s="13" t="n"/>
      <c r="Q72" s="13" t="n"/>
      <c r="R72" s="11" t="n"/>
      <c r="S72" s="11" t="n"/>
      <c r="T72" s="11" t="n"/>
      <c r="V72" s="14" t="n"/>
      <c r="W72" s="14" t="n"/>
      <c r="X72" s="14" t="n"/>
    </row>
    <row r="73">
      <c r="A73" s="11" t="n"/>
      <c r="B73">
        <f>IFERROR(INDEX(Universe!$B$3:$B$3002, MATCH($A73, Universe!$A$3:$A$3002, 0)),"")</f>
        <v/>
      </c>
      <c r="C73">
        <f>IFERROR(INDEX(Universe!$D$3:$D$3002, MATCH($A73, Universe!$A$3:$A$3002, 0)),"")</f>
        <v/>
      </c>
      <c r="D73" s="5" t="n"/>
      <c r="E73" s="5" t="n"/>
      <c r="F73" s="5" t="n"/>
      <c r="G73" s="12" t="n"/>
      <c r="H73" s="12" t="n"/>
      <c r="I73" s="12" t="n"/>
      <c r="J73" s="12" t="n"/>
      <c r="K73" s="12" t="n"/>
      <c r="L73" s="12" t="n"/>
      <c r="M73" s="5" t="n"/>
      <c r="N73" s="12" t="n"/>
      <c r="O73" s="12" t="n"/>
      <c r="P73" s="13" t="n"/>
      <c r="Q73" s="13" t="n"/>
      <c r="R73" s="11" t="n"/>
      <c r="S73" s="11" t="n"/>
      <c r="T73" s="11" t="n"/>
      <c r="V73" s="14" t="n"/>
      <c r="W73" s="14" t="n"/>
      <c r="X73" s="14" t="n"/>
    </row>
    <row r="74">
      <c r="A74" s="11" t="n"/>
      <c r="B74">
        <f>IFERROR(INDEX(Universe!$B$3:$B$3002, MATCH($A74, Universe!$A$3:$A$3002, 0)),"")</f>
        <v/>
      </c>
      <c r="C74">
        <f>IFERROR(INDEX(Universe!$D$3:$D$3002, MATCH($A74, Universe!$A$3:$A$3002, 0)),"")</f>
        <v/>
      </c>
      <c r="D74" s="5" t="n"/>
      <c r="E74" s="5" t="n"/>
      <c r="F74" s="5" t="n"/>
      <c r="G74" s="12" t="n"/>
      <c r="H74" s="12" t="n"/>
      <c r="I74" s="12" t="n"/>
      <c r="J74" s="12" t="n"/>
      <c r="K74" s="12" t="n"/>
      <c r="L74" s="12" t="n"/>
      <c r="M74" s="5" t="n"/>
      <c r="N74" s="12" t="n"/>
      <c r="O74" s="12" t="n"/>
      <c r="P74" s="13" t="n"/>
      <c r="Q74" s="13" t="n"/>
      <c r="R74" s="11" t="n"/>
      <c r="S74" s="11" t="n"/>
      <c r="T74" s="11" t="n"/>
      <c r="V74" s="14" t="n"/>
      <c r="W74" s="14" t="n"/>
      <c r="X74" s="14" t="n"/>
    </row>
    <row r="75">
      <c r="A75" s="11" t="n"/>
      <c r="B75">
        <f>IFERROR(INDEX(Universe!$B$3:$B$3002, MATCH($A75, Universe!$A$3:$A$3002, 0)),"")</f>
        <v/>
      </c>
      <c r="C75">
        <f>IFERROR(INDEX(Universe!$D$3:$D$3002, MATCH($A75, Universe!$A$3:$A$3002, 0)),"")</f>
        <v/>
      </c>
      <c r="D75" s="5" t="n"/>
      <c r="E75" s="5" t="n"/>
      <c r="F75" s="5" t="n"/>
      <c r="G75" s="12" t="n"/>
      <c r="H75" s="12" t="n"/>
      <c r="I75" s="12" t="n"/>
      <c r="J75" s="12" t="n"/>
      <c r="K75" s="12" t="n"/>
      <c r="L75" s="12" t="n"/>
      <c r="M75" s="5" t="n"/>
      <c r="N75" s="12" t="n"/>
      <c r="O75" s="12" t="n"/>
      <c r="P75" s="13" t="n"/>
      <c r="Q75" s="13" t="n"/>
      <c r="R75" s="11" t="n"/>
      <c r="S75" s="11" t="n"/>
      <c r="T75" s="11" t="n"/>
      <c r="V75" s="14" t="n"/>
      <c r="W75" s="14" t="n"/>
      <c r="X75" s="14" t="n"/>
    </row>
    <row r="76">
      <c r="A76" s="11" t="n"/>
      <c r="B76">
        <f>IFERROR(INDEX(Universe!$B$3:$B$3002, MATCH($A76, Universe!$A$3:$A$3002, 0)),"")</f>
        <v/>
      </c>
      <c r="C76">
        <f>IFERROR(INDEX(Universe!$D$3:$D$3002, MATCH($A76, Universe!$A$3:$A$3002, 0)),"")</f>
        <v/>
      </c>
      <c r="D76" s="5" t="n"/>
      <c r="E76" s="5" t="n"/>
      <c r="F76" s="5" t="n"/>
      <c r="G76" s="12" t="n"/>
      <c r="H76" s="12" t="n"/>
      <c r="I76" s="12" t="n"/>
      <c r="J76" s="12" t="n"/>
      <c r="K76" s="12" t="n"/>
      <c r="L76" s="12" t="n"/>
      <c r="M76" s="5" t="n"/>
      <c r="N76" s="12" t="n"/>
      <c r="O76" s="12" t="n"/>
      <c r="P76" s="13" t="n"/>
      <c r="Q76" s="13" t="n"/>
      <c r="R76" s="11" t="n"/>
      <c r="S76" s="11" t="n"/>
      <c r="T76" s="11" t="n"/>
      <c r="V76" s="14" t="n"/>
      <c r="W76" s="14" t="n"/>
      <c r="X76" s="14" t="n"/>
    </row>
    <row r="77">
      <c r="A77" s="11" t="n"/>
      <c r="B77">
        <f>IFERROR(INDEX(Universe!$B$3:$B$3002, MATCH($A77, Universe!$A$3:$A$3002, 0)),"")</f>
        <v/>
      </c>
      <c r="C77">
        <f>IFERROR(INDEX(Universe!$D$3:$D$3002, MATCH($A77, Universe!$A$3:$A$3002, 0)),"")</f>
        <v/>
      </c>
      <c r="D77" s="5" t="n"/>
      <c r="E77" s="5" t="n"/>
      <c r="F77" s="5" t="n"/>
      <c r="G77" s="12" t="n"/>
      <c r="H77" s="12" t="n"/>
      <c r="I77" s="12" t="n"/>
      <c r="J77" s="12" t="n"/>
      <c r="K77" s="12" t="n"/>
      <c r="L77" s="12" t="n"/>
      <c r="M77" s="5" t="n"/>
      <c r="N77" s="12" t="n"/>
      <c r="O77" s="12" t="n"/>
      <c r="P77" s="13" t="n"/>
      <c r="Q77" s="13" t="n"/>
      <c r="R77" s="11" t="n"/>
      <c r="S77" s="11" t="n"/>
      <c r="T77" s="11" t="n"/>
      <c r="V77" s="14" t="n"/>
      <c r="W77" s="14" t="n"/>
      <c r="X77" s="14" t="n"/>
    </row>
    <row r="78">
      <c r="A78" s="11" t="n"/>
      <c r="B78">
        <f>IFERROR(INDEX(Universe!$B$3:$B$3002, MATCH($A78, Universe!$A$3:$A$3002, 0)),"")</f>
        <v/>
      </c>
      <c r="C78">
        <f>IFERROR(INDEX(Universe!$D$3:$D$3002, MATCH($A78, Universe!$A$3:$A$3002, 0)),"")</f>
        <v/>
      </c>
      <c r="D78" s="5" t="n"/>
      <c r="E78" s="5" t="n"/>
      <c r="F78" s="5" t="n"/>
      <c r="G78" s="12" t="n"/>
      <c r="H78" s="12" t="n"/>
      <c r="I78" s="12" t="n"/>
      <c r="J78" s="12" t="n"/>
      <c r="K78" s="12" t="n"/>
      <c r="L78" s="12" t="n"/>
      <c r="M78" s="5" t="n"/>
      <c r="N78" s="12" t="n"/>
      <c r="O78" s="12" t="n"/>
      <c r="P78" s="13" t="n"/>
      <c r="Q78" s="13" t="n"/>
      <c r="R78" s="11" t="n"/>
      <c r="S78" s="11" t="n"/>
      <c r="T78" s="11" t="n"/>
      <c r="V78" s="14" t="n"/>
      <c r="W78" s="14" t="n"/>
      <c r="X78" s="14" t="n"/>
    </row>
    <row r="79">
      <c r="A79" s="11" t="n"/>
      <c r="B79">
        <f>IFERROR(INDEX(Universe!$B$3:$B$3002, MATCH($A79, Universe!$A$3:$A$3002, 0)),"")</f>
        <v/>
      </c>
      <c r="C79">
        <f>IFERROR(INDEX(Universe!$D$3:$D$3002, MATCH($A79, Universe!$A$3:$A$3002, 0)),"")</f>
        <v/>
      </c>
      <c r="D79" s="5" t="n"/>
      <c r="E79" s="5" t="n"/>
      <c r="F79" s="5" t="n"/>
      <c r="G79" s="12" t="n"/>
      <c r="H79" s="12" t="n"/>
      <c r="I79" s="12" t="n"/>
      <c r="J79" s="12" t="n"/>
      <c r="K79" s="12" t="n"/>
      <c r="L79" s="12" t="n"/>
      <c r="M79" s="5" t="n"/>
      <c r="N79" s="12" t="n"/>
      <c r="O79" s="12" t="n"/>
      <c r="P79" s="13" t="n"/>
      <c r="Q79" s="13" t="n"/>
      <c r="R79" s="11" t="n"/>
      <c r="S79" s="11" t="n"/>
      <c r="T79" s="11" t="n"/>
      <c r="V79" s="14" t="n"/>
      <c r="W79" s="14" t="n"/>
      <c r="X79" s="14" t="n"/>
    </row>
    <row r="80">
      <c r="A80" s="11" t="n"/>
      <c r="B80">
        <f>IFERROR(INDEX(Universe!$B$3:$B$3002, MATCH($A80, Universe!$A$3:$A$3002, 0)),"")</f>
        <v/>
      </c>
      <c r="C80">
        <f>IFERROR(INDEX(Universe!$D$3:$D$3002, MATCH($A80, Universe!$A$3:$A$3002, 0)),"")</f>
        <v/>
      </c>
      <c r="D80" s="5" t="n"/>
      <c r="E80" s="5" t="n"/>
      <c r="F80" s="5" t="n"/>
      <c r="G80" s="12" t="n"/>
      <c r="H80" s="12" t="n"/>
      <c r="I80" s="12" t="n"/>
      <c r="J80" s="12" t="n"/>
      <c r="K80" s="12" t="n"/>
      <c r="L80" s="12" t="n"/>
      <c r="M80" s="5" t="n"/>
      <c r="N80" s="12" t="n"/>
      <c r="O80" s="12" t="n"/>
      <c r="P80" s="13" t="n"/>
      <c r="Q80" s="13" t="n"/>
      <c r="R80" s="11" t="n"/>
      <c r="S80" s="11" t="n"/>
      <c r="T80" s="11" t="n"/>
      <c r="V80" s="14" t="n"/>
      <c r="W80" s="14" t="n"/>
      <c r="X80" s="14" t="n"/>
    </row>
    <row r="81">
      <c r="A81" s="11" t="n"/>
      <c r="B81">
        <f>IFERROR(INDEX(Universe!$B$3:$B$3002, MATCH($A81, Universe!$A$3:$A$3002, 0)),"")</f>
        <v/>
      </c>
      <c r="C81">
        <f>IFERROR(INDEX(Universe!$D$3:$D$3002, MATCH($A81, Universe!$A$3:$A$3002, 0)),"")</f>
        <v/>
      </c>
      <c r="D81" s="5" t="n"/>
      <c r="E81" s="5" t="n"/>
      <c r="F81" s="5" t="n"/>
      <c r="G81" s="12" t="n"/>
      <c r="H81" s="12" t="n"/>
      <c r="I81" s="12" t="n"/>
      <c r="J81" s="12" t="n"/>
      <c r="K81" s="12" t="n"/>
      <c r="L81" s="12" t="n"/>
      <c r="M81" s="5" t="n"/>
      <c r="N81" s="12" t="n"/>
      <c r="O81" s="12" t="n"/>
      <c r="P81" s="13" t="n"/>
      <c r="Q81" s="13" t="n"/>
      <c r="R81" s="11" t="n"/>
      <c r="S81" s="11" t="n"/>
      <c r="T81" s="11" t="n"/>
      <c r="V81" s="14" t="n"/>
      <c r="W81" s="14" t="n"/>
      <c r="X81" s="14" t="n"/>
    </row>
    <row r="82">
      <c r="A82" s="11" t="n"/>
      <c r="B82">
        <f>IFERROR(INDEX(Universe!$B$3:$B$3002, MATCH($A82, Universe!$A$3:$A$3002, 0)),"")</f>
        <v/>
      </c>
      <c r="C82">
        <f>IFERROR(INDEX(Universe!$D$3:$D$3002, MATCH($A82, Universe!$A$3:$A$3002, 0)),"")</f>
        <v/>
      </c>
      <c r="D82" s="5" t="n"/>
      <c r="E82" s="5" t="n"/>
      <c r="F82" s="5" t="n"/>
      <c r="G82" s="12" t="n"/>
      <c r="H82" s="12" t="n"/>
      <c r="I82" s="12" t="n"/>
      <c r="J82" s="12" t="n"/>
      <c r="K82" s="12" t="n"/>
      <c r="L82" s="12" t="n"/>
      <c r="M82" s="5" t="n"/>
      <c r="N82" s="12" t="n"/>
      <c r="O82" s="12" t="n"/>
      <c r="P82" s="13" t="n"/>
      <c r="Q82" s="13" t="n"/>
      <c r="R82" s="11" t="n"/>
      <c r="S82" s="11" t="n"/>
      <c r="T82" s="11" t="n"/>
      <c r="V82" s="14" t="n"/>
      <c r="W82" s="14" t="n"/>
      <c r="X82" s="14" t="n"/>
    </row>
    <row r="83">
      <c r="A83" s="11" t="n"/>
      <c r="B83">
        <f>IFERROR(INDEX(Universe!$B$3:$B$3002, MATCH($A83, Universe!$A$3:$A$3002, 0)),"")</f>
        <v/>
      </c>
      <c r="C83">
        <f>IFERROR(INDEX(Universe!$D$3:$D$3002, MATCH($A83, Universe!$A$3:$A$3002, 0)),"")</f>
        <v/>
      </c>
      <c r="D83" s="5" t="n"/>
      <c r="E83" s="5" t="n"/>
      <c r="F83" s="5" t="n"/>
      <c r="G83" s="12" t="n"/>
      <c r="H83" s="12" t="n"/>
      <c r="I83" s="12" t="n"/>
      <c r="J83" s="12" t="n"/>
      <c r="K83" s="12" t="n"/>
      <c r="L83" s="12" t="n"/>
      <c r="M83" s="5" t="n"/>
      <c r="N83" s="12" t="n"/>
      <c r="O83" s="12" t="n"/>
      <c r="P83" s="13" t="n"/>
      <c r="Q83" s="13" t="n"/>
      <c r="R83" s="11" t="n"/>
      <c r="S83" s="11" t="n"/>
      <c r="T83" s="11" t="n"/>
      <c r="V83" s="14" t="n"/>
      <c r="W83" s="14" t="n"/>
      <c r="X83" s="14" t="n"/>
    </row>
    <row r="84">
      <c r="A84" s="11" t="n"/>
      <c r="B84">
        <f>IFERROR(INDEX(Universe!$B$3:$B$3002, MATCH($A84, Universe!$A$3:$A$3002, 0)),"")</f>
        <v/>
      </c>
      <c r="C84">
        <f>IFERROR(INDEX(Universe!$D$3:$D$3002, MATCH($A84, Universe!$A$3:$A$3002, 0)),"")</f>
        <v/>
      </c>
      <c r="D84" s="5" t="n"/>
      <c r="E84" s="5" t="n"/>
      <c r="F84" s="5" t="n"/>
      <c r="G84" s="12" t="n"/>
      <c r="H84" s="12" t="n"/>
      <c r="I84" s="12" t="n"/>
      <c r="J84" s="12" t="n"/>
      <c r="K84" s="12" t="n"/>
      <c r="L84" s="12" t="n"/>
      <c r="M84" s="5" t="n"/>
      <c r="N84" s="12" t="n"/>
      <c r="O84" s="12" t="n"/>
      <c r="P84" s="13" t="n"/>
      <c r="Q84" s="13" t="n"/>
      <c r="R84" s="11" t="n"/>
      <c r="S84" s="11" t="n"/>
      <c r="T84" s="11" t="n"/>
      <c r="V84" s="14" t="n"/>
      <c r="W84" s="14" t="n"/>
      <c r="X84" s="14" t="n"/>
    </row>
    <row r="85">
      <c r="A85" s="11" t="n"/>
      <c r="B85">
        <f>IFERROR(INDEX(Universe!$B$3:$B$3002, MATCH($A85, Universe!$A$3:$A$3002, 0)),"")</f>
        <v/>
      </c>
      <c r="C85">
        <f>IFERROR(INDEX(Universe!$D$3:$D$3002, MATCH($A85, Universe!$A$3:$A$3002, 0)),"")</f>
        <v/>
      </c>
      <c r="D85" s="5" t="n"/>
      <c r="E85" s="5" t="n"/>
      <c r="F85" s="5" t="n"/>
      <c r="G85" s="12" t="n"/>
      <c r="H85" s="12" t="n"/>
      <c r="I85" s="12" t="n"/>
      <c r="J85" s="12" t="n"/>
      <c r="K85" s="12" t="n"/>
      <c r="L85" s="12" t="n"/>
      <c r="M85" s="5" t="n"/>
      <c r="N85" s="12" t="n"/>
      <c r="O85" s="12" t="n"/>
      <c r="P85" s="13" t="n"/>
      <c r="Q85" s="13" t="n"/>
      <c r="R85" s="11" t="n"/>
      <c r="S85" s="11" t="n"/>
      <c r="T85" s="11" t="n"/>
      <c r="V85" s="14" t="n"/>
      <c r="W85" s="14" t="n"/>
      <c r="X85" s="14" t="n"/>
    </row>
    <row r="86">
      <c r="A86" s="11" t="n"/>
      <c r="B86">
        <f>IFERROR(INDEX(Universe!$B$3:$B$3002, MATCH($A86, Universe!$A$3:$A$3002, 0)),"")</f>
        <v/>
      </c>
      <c r="C86">
        <f>IFERROR(INDEX(Universe!$D$3:$D$3002, MATCH($A86, Universe!$A$3:$A$3002, 0)),"")</f>
        <v/>
      </c>
      <c r="D86" s="5" t="n"/>
      <c r="E86" s="5" t="n"/>
      <c r="F86" s="5" t="n"/>
      <c r="G86" s="12" t="n"/>
      <c r="H86" s="12" t="n"/>
      <c r="I86" s="12" t="n"/>
      <c r="J86" s="12" t="n"/>
      <c r="K86" s="12" t="n"/>
      <c r="L86" s="12" t="n"/>
      <c r="M86" s="5" t="n"/>
      <c r="N86" s="12" t="n"/>
      <c r="O86" s="12" t="n"/>
      <c r="P86" s="13" t="n"/>
      <c r="Q86" s="13" t="n"/>
      <c r="R86" s="11" t="n"/>
      <c r="S86" s="11" t="n"/>
      <c r="T86" s="11" t="n"/>
      <c r="V86" s="14" t="n"/>
      <c r="W86" s="14" t="n"/>
      <c r="X86" s="14" t="n"/>
    </row>
    <row r="87">
      <c r="A87" s="11" t="n"/>
      <c r="B87">
        <f>IFERROR(INDEX(Universe!$B$3:$B$3002, MATCH($A87, Universe!$A$3:$A$3002, 0)),"")</f>
        <v/>
      </c>
      <c r="C87">
        <f>IFERROR(INDEX(Universe!$D$3:$D$3002, MATCH($A87, Universe!$A$3:$A$3002, 0)),"")</f>
        <v/>
      </c>
      <c r="D87" s="5" t="n"/>
      <c r="E87" s="5" t="n"/>
      <c r="F87" s="5" t="n"/>
      <c r="G87" s="12" t="n"/>
      <c r="H87" s="12" t="n"/>
      <c r="I87" s="12" t="n"/>
      <c r="J87" s="12" t="n"/>
      <c r="K87" s="12" t="n"/>
      <c r="L87" s="12" t="n"/>
      <c r="M87" s="5" t="n"/>
      <c r="N87" s="12" t="n"/>
      <c r="O87" s="12" t="n"/>
      <c r="P87" s="13" t="n"/>
      <c r="Q87" s="13" t="n"/>
      <c r="R87" s="11" t="n"/>
      <c r="S87" s="11" t="n"/>
      <c r="T87" s="11" t="n"/>
      <c r="V87" s="14" t="n"/>
      <c r="W87" s="14" t="n"/>
      <c r="X87" s="14" t="n"/>
    </row>
    <row r="88">
      <c r="A88" s="11" t="n"/>
      <c r="B88">
        <f>IFERROR(INDEX(Universe!$B$3:$B$3002, MATCH($A88, Universe!$A$3:$A$3002, 0)),"")</f>
        <v/>
      </c>
      <c r="C88">
        <f>IFERROR(INDEX(Universe!$D$3:$D$3002, MATCH($A88, Universe!$A$3:$A$3002, 0)),"")</f>
        <v/>
      </c>
      <c r="D88" s="5" t="n"/>
      <c r="E88" s="5" t="n"/>
      <c r="F88" s="5" t="n"/>
      <c r="G88" s="12" t="n"/>
      <c r="H88" s="12" t="n"/>
      <c r="I88" s="12" t="n"/>
      <c r="J88" s="12" t="n"/>
      <c r="K88" s="12" t="n"/>
      <c r="L88" s="12" t="n"/>
      <c r="M88" s="5" t="n"/>
      <c r="N88" s="12" t="n"/>
      <c r="O88" s="12" t="n"/>
      <c r="P88" s="13" t="n"/>
      <c r="Q88" s="13" t="n"/>
      <c r="R88" s="11" t="n"/>
      <c r="S88" s="11" t="n"/>
      <c r="T88" s="11" t="n"/>
      <c r="V88" s="14" t="n"/>
      <c r="W88" s="14" t="n"/>
      <c r="X88" s="14" t="n"/>
    </row>
    <row r="89">
      <c r="A89" s="11" t="n"/>
      <c r="B89">
        <f>IFERROR(INDEX(Universe!$B$3:$B$3002, MATCH($A89, Universe!$A$3:$A$3002, 0)),"")</f>
        <v/>
      </c>
      <c r="C89">
        <f>IFERROR(INDEX(Universe!$D$3:$D$3002, MATCH($A89, Universe!$A$3:$A$3002, 0)),"")</f>
        <v/>
      </c>
      <c r="D89" s="5" t="n"/>
      <c r="E89" s="5" t="n"/>
      <c r="F89" s="5" t="n"/>
      <c r="G89" s="12" t="n"/>
      <c r="H89" s="12" t="n"/>
      <c r="I89" s="12" t="n"/>
      <c r="J89" s="12" t="n"/>
      <c r="K89" s="12" t="n"/>
      <c r="L89" s="12" t="n"/>
      <c r="M89" s="5" t="n"/>
      <c r="N89" s="12" t="n"/>
      <c r="O89" s="12" t="n"/>
      <c r="P89" s="13" t="n"/>
      <c r="Q89" s="13" t="n"/>
      <c r="R89" s="11" t="n"/>
      <c r="S89" s="11" t="n"/>
      <c r="T89" s="11" t="n"/>
      <c r="V89" s="14" t="n"/>
      <c r="W89" s="14" t="n"/>
      <c r="X89" s="14" t="n"/>
    </row>
    <row r="90">
      <c r="A90" s="11" t="n"/>
      <c r="B90">
        <f>IFERROR(INDEX(Universe!$B$3:$B$3002, MATCH($A90, Universe!$A$3:$A$3002, 0)),"")</f>
        <v/>
      </c>
      <c r="C90">
        <f>IFERROR(INDEX(Universe!$D$3:$D$3002, MATCH($A90, Universe!$A$3:$A$3002, 0)),"")</f>
        <v/>
      </c>
      <c r="D90" s="5" t="n"/>
      <c r="E90" s="5" t="n"/>
      <c r="F90" s="5" t="n"/>
      <c r="G90" s="12" t="n"/>
      <c r="H90" s="12" t="n"/>
      <c r="I90" s="12" t="n"/>
      <c r="J90" s="12" t="n"/>
      <c r="K90" s="12" t="n"/>
      <c r="L90" s="12" t="n"/>
      <c r="M90" s="5" t="n"/>
      <c r="N90" s="12" t="n"/>
      <c r="O90" s="12" t="n"/>
      <c r="P90" s="13" t="n"/>
      <c r="Q90" s="13" t="n"/>
      <c r="R90" s="11" t="n"/>
      <c r="S90" s="11" t="n"/>
      <c r="T90" s="11" t="n"/>
      <c r="V90" s="14" t="n"/>
      <c r="W90" s="14" t="n"/>
      <c r="X90" s="14" t="n"/>
    </row>
    <row r="91">
      <c r="A91" s="11" t="n"/>
      <c r="B91">
        <f>IFERROR(INDEX(Universe!$B$3:$B$3002, MATCH($A91, Universe!$A$3:$A$3002, 0)),"")</f>
        <v/>
      </c>
      <c r="C91">
        <f>IFERROR(INDEX(Universe!$D$3:$D$3002, MATCH($A91, Universe!$A$3:$A$3002, 0)),"")</f>
        <v/>
      </c>
      <c r="D91" s="5" t="n"/>
      <c r="E91" s="5" t="n"/>
      <c r="F91" s="5" t="n"/>
      <c r="G91" s="12" t="n"/>
      <c r="H91" s="12" t="n"/>
      <c r="I91" s="12" t="n"/>
      <c r="J91" s="12" t="n"/>
      <c r="K91" s="12" t="n"/>
      <c r="L91" s="12" t="n"/>
      <c r="M91" s="5" t="n"/>
      <c r="N91" s="12" t="n"/>
      <c r="O91" s="12" t="n"/>
      <c r="P91" s="13" t="n"/>
      <c r="Q91" s="13" t="n"/>
      <c r="R91" s="11" t="n"/>
      <c r="S91" s="11" t="n"/>
      <c r="T91" s="11" t="n"/>
      <c r="V91" s="14" t="n"/>
      <c r="W91" s="14" t="n"/>
      <c r="X91" s="14" t="n"/>
    </row>
    <row r="92">
      <c r="A92" s="11" t="n"/>
      <c r="B92">
        <f>IFERROR(INDEX(Universe!$B$3:$B$3002, MATCH($A92, Universe!$A$3:$A$3002, 0)),"")</f>
        <v/>
      </c>
      <c r="C92">
        <f>IFERROR(INDEX(Universe!$D$3:$D$3002, MATCH($A92, Universe!$A$3:$A$3002, 0)),"")</f>
        <v/>
      </c>
      <c r="D92" s="5" t="n"/>
      <c r="E92" s="5" t="n"/>
      <c r="F92" s="5" t="n"/>
      <c r="G92" s="12" t="n"/>
      <c r="H92" s="12" t="n"/>
      <c r="I92" s="12" t="n"/>
      <c r="J92" s="12" t="n"/>
      <c r="K92" s="12" t="n"/>
      <c r="L92" s="12" t="n"/>
      <c r="M92" s="5" t="n"/>
      <c r="N92" s="12" t="n"/>
      <c r="O92" s="12" t="n"/>
      <c r="P92" s="13" t="n"/>
      <c r="Q92" s="13" t="n"/>
      <c r="R92" s="11" t="n"/>
      <c r="S92" s="11" t="n"/>
      <c r="T92" s="11" t="n"/>
      <c r="V92" s="14" t="n"/>
      <c r="W92" s="14" t="n"/>
      <c r="X92" s="14" t="n"/>
    </row>
    <row r="93">
      <c r="A93" s="11" t="n"/>
      <c r="B93">
        <f>IFERROR(INDEX(Universe!$B$3:$B$3002, MATCH($A93, Universe!$A$3:$A$3002, 0)),"")</f>
        <v/>
      </c>
      <c r="C93">
        <f>IFERROR(INDEX(Universe!$D$3:$D$3002, MATCH($A93, Universe!$A$3:$A$3002, 0)),"")</f>
        <v/>
      </c>
      <c r="D93" s="5" t="n"/>
      <c r="E93" s="5" t="n"/>
      <c r="F93" s="5" t="n"/>
      <c r="G93" s="12" t="n"/>
      <c r="H93" s="12" t="n"/>
      <c r="I93" s="12" t="n"/>
      <c r="J93" s="12" t="n"/>
      <c r="K93" s="12" t="n"/>
      <c r="L93" s="12" t="n"/>
      <c r="M93" s="5" t="n"/>
      <c r="N93" s="12" t="n"/>
      <c r="O93" s="12" t="n"/>
      <c r="P93" s="13" t="n"/>
      <c r="Q93" s="13" t="n"/>
      <c r="R93" s="11" t="n"/>
      <c r="S93" s="11" t="n"/>
      <c r="T93" s="11" t="n"/>
      <c r="V93" s="14" t="n"/>
      <c r="W93" s="14" t="n"/>
      <c r="X93" s="14" t="n"/>
    </row>
    <row r="94">
      <c r="A94" s="11" t="n"/>
      <c r="B94">
        <f>IFERROR(INDEX(Universe!$B$3:$B$3002, MATCH($A94, Universe!$A$3:$A$3002, 0)),"")</f>
        <v/>
      </c>
      <c r="C94">
        <f>IFERROR(INDEX(Universe!$D$3:$D$3002, MATCH($A94, Universe!$A$3:$A$3002, 0)),"")</f>
        <v/>
      </c>
      <c r="D94" s="5" t="n"/>
      <c r="E94" s="5" t="n"/>
      <c r="F94" s="5" t="n"/>
      <c r="G94" s="12" t="n"/>
      <c r="H94" s="12" t="n"/>
      <c r="I94" s="12" t="n"/>
      <c r="J94" s="12" t="n"/>
      <c r="K94" s="12" t="n"/>
      <c r="L94" s="12" t="n"/>
      <c r="M94" s="5" t="n"/>
      <c r="N94" s="12" t="n"/>
      <c r="O94" s="12" t="n"/>
      <c r="P94" s="13" t="n"/>
      <c r="Q94" s="13" t="n"/>
      <c r="R94" s="11" t="n"/>
      <c r="S94" s="11" t="n"/>
      <c r="T94" s="11" t="n"/>
      <c r="V94" s="14" t="n"/>
      <c r="W94" s="14" t="n"/>
      <c r="X94" s="14" t="n"/>
    </row>
    <row r="95">
      <c r="A95" s="11" t="n"/>
      <c r="B95">
        <f>IFERROR(INDEX(Universe!$B$3:$B$3002, MATCH($A95, Universe!$A$3:$A$3002, 0)),"")</f>
        <v/>
      </c>
      <c r="C95">
        <f>IFERROR(INDEX(Universe!$D$3:$D$3002, MATCH($A95, Universe!$A$3:$A$3002, 0)),"")</f>
        <v/>
      </c>
      <c r="D95" s="5" t="n"/>
      <c r="E95" s="5" t="n"/>
      <c r="F95" s="5" t="n"/>
      <c r="G95" s="12" t="n"/>
      <c r="H95" s="12" t="n"/>
      <c r="I95" s="12" t="n"/>
      <c r="J95" s="12" t="n"/>
      <c r="K95" s="12" t="n"/>
      <c r="L95" s="12" t="n"/>
      <c r="M95" s="5" t="n"/>
      <c r="N95" s="12" t="n"/>
      <c r="O95" s="12" t="n"/>
      <c r="P95" s="13" t="n"/>
      <c r="Q95" s="13" t="n"/>
      <c r="R95" s="11" t="n"/>
      <c r="S95" s="11" t="n"/>
      <c r="T95" s="11" t="n"/>
      <c r="V95" s="14" t="n"/>
      <c r="W95" s="14" t="n"/>
      <c r="X95" s="14" t="n"/>
    </row>
    <row r="96">
      <c r="A96" s="11" t="n"/>
      <c r="B96">
        <f>IFERROR(INDEX(Universe!$B$3:$B$3002, MATCH($A96, Universe!$A$3:$A$3002, 0)),"")</f>
        <v/>
      </c>
      <c r="C96">
        <f>IFERROR(INDEX(Universe!$D$3:$D$3002, MATCH($A96, Universe!$A$3:$A$3002, 0)),"")</f>
        <v/>
      </c>
      <c r="D96" s="5" t="n"/>
      <c r="E96" s="5" t="n"/>
      <c r="F96" s="5" t="n"/>
      <c r="G96" s="12" t="n"/>
      <c r="H96" s="12" t="n"/>
      <c r="I96" s="12" t="n"/>
      <c r="J96" s="12" t="n"/>
      <c r="K96" s="12" t="n"/>
      <c r="L96" s="12" t="n"/>
      <c r="M96" s="5" t="n"/>
      <c r="N96" s="12" t="n"/>
      <c r="O96" s="12" t="n"/>
      <c r="P96" s="13" t="n"/>
      <c r="Q96" s="13" t="n"/>
      <c r="R96" s="11" t="n"/>
      <c r="S96" s="11" t="n"/>
      <c r="T96" s="11" t="n"/>
      <c r="V96" s="14" t="n"/>
      <c r="W96" s="14" t="n"/>
      <c r="X96" s="14" t="n"/>
    </row>
    <row r="97">
      <c r="A97" s="11" t="n"/>
      <c r="B97">
        <f>IFERROR(INDEX(Universe!$B$3:$B$3002, MATCH($A97, Universe!$A$3:$A$3002, 0)),"")</f>
        <v/>
      </c>
      <c r="C97">
        <f>IFERROR(INDEX(Universe!$D$3:$D$3002, MATCH($A97, Universe!$A$3:$A$3002, 0)),"")</f>
        <v/>
      </c>
      <c r="D97" s="5" t="n"/>
      <c r="E97" s="5" t="n"/>
      <c r="F97" s="5" t="n"/>
      <c r="G97" s="12" t="n"/>
      <c r="H97" s="12" t="n"/>
      <c r="I97" s="12" t="n"/>
      <c r="J97" s="12" t="n"/>
      <c r="K97" s="12" t="n"/>
      <c r="L97" s="12" t="n"/>
      <c r="M97" s="5" t="n"/>
      <c r="N97" s="12" t="n"/>
      <c r="O97" s="12" t="n"/>
      <c r="P97" s="13" t="n"/>
      <c r="Q97" s="13" t="n"/>
      <c r="R97" s="11" t="n"/>
      <c r="S97" s="11" t="n"/>
      <c r="T97" s="11" t="n"/>
      <c r="V97" s="14" t="n"/>
      <c r="W97" s="14" t="n"/>
      <c r="X97" s="14" t="n"/>
    </row>
    <row r="98">
      <c r="A98" s="11" t="n"/>
      <c r="B98">
        <f>IFERROR(INDEX(Universe!$B$3:$B$3002, MATCH($A98, Universe!$A$3:$A$3002, 0)),"")</f>
        <v/>
      </c>
      <c r="C98">
        <f>IFERROR(INDEX(Universe!$D$3:$D$3002, MATCH($A98, Universe!$A$3:$A$3002, 0)),"")</f>
        <v/>
      </c>
      <c r="D98" s="5" t="n"/>
      <c r="E98" s="5" t="n"/>
      <c r="F98" s="5" t="n"/>
      <c r="G98" s="12" t="n"/>
      <c r="H98" s="12" t="n"/>
      <c r="I98" s="12" t="n"/>
      <c r="J98" s="12" t="n"/>
      <c r="K98" s="12" t="n"/>
      <c r="L98" s="12" t="n"/>
      <c r="M98" s="5" t="n"/>
      <c r="N98" s="12" t="n"/>
      <c r="O98" s="12" t="n"/>
      <c r="P98" s="13" t="n"/>
      <c r="Q98" s="13" t="n"/>
      <c r="R98" s="11" t="n"/>
      <c r="S98" s="11" t="n"/>
      <c r="T98" s="11" t="n"/>
      <c r="V98" s="14" t="n"/>
      <c r="W98" s="14" t="n"/>
      <c r="X98" s="14" t="n"/>
    </row>
    <row r="99">
      <c r="A99" s="11" t="n"/>
      <c r="B99">
        <f>IFERROR(INDEX(Universe!$B$3:$B$3002, MATCH($A99, Universe!$A$3:$A$3002, 0)),"")</f>
        <v/>
      </c>
      <c r="C99">
        <f>IFERROR(INDEX(Universe!$D$3:$D$3002, MATCH($A99, Universe!$A$3:$A$3002, 0)),"")</f>
        <v/>
      </c>
      <c r="D99" s="5" t="n"/>
      <c r="E99" s="5" t="n"/>
      <c r="F99" s="5" t="n"/>
      <c r="G99" s="12" t="n"/>
      <c r="H99" s="12" t="n"/>
      <c r="I99" s="12" t="n"/>
      <c r="J99" s="12" t="n"/>
      <c r="K99" s="12" t="n"/>
      <c r="L99" s="12" t="n"/>
      <c r="M99" s="5" t="n"/>
      <c r="N99" s="12" t="n"/>
      <c r="O99" s="12" t="n"/>
      <c r="P99" s="13" t="n"/>
      <c r="Q99" s="13" t="n"/>
      <c r="R99" s="11" t="n"/>
      <c r="S99" s="11" t="n"/>
      <c r="T99" s="11" t="n"/>
      <c r="V99" s="14" t="n"/>
      <c r="W99" s="14" t="n"/>
      <c r="X99" s="14" t="n"/>
    </row>
    <row r="100">
      <c r="A100" s="11" t="n"/>
      <c r="B100">
        <f>IFERROR(INDEX(Universe!$B$3:$B$3002, MATCH($A100, Universe!$A$3:$A$3002, 0)),"")</f>
        <v/>
      </c>
      <c r="C100">
        <f>IFERROR(INDEX(Universe!$D$3:$D$3002, MATCH($A100, Universe!$A$3:$A$3002, 0)),"")</f>
        <v/>
      </c>
      <c r="D100" s="5" t="n"/>
      <c r="E100" s="5" t="n"/>
      <c r="F100" s="5" t="n"/>
      <c r="G100" s="12" t="n"/>
      <c r="H100" s="12" t="n"/>
      <c r="I100" s="12" t="n"/>
      <c r="J100" s="12" t="n"/>
      <c r="K100" s="12" t="n"/>
      <c r="L100" s="12" t="n"/>
      <c r="M100" s="5" t="n"/>
      <c r="N100" s="12" t="n"/>
      <c r="O100" s="12" t="n"/>
      <c r="P100" s="13" t="n"/>
      <c r="Q100" s="13" t="n"/>
      <c r="R100" s="11" t="n"/>
      <c r="S100" s="11" t="n"/>
      <c r="T100" s="11" t="n"/>
      <c r="V100" s="14" t="n"/>
      <c r="W100" s="14" t="n"/>
      <c r="X100" s="14" t="n"/>
    </row>
    <row r="101">
      <c r="A101" s="11" t="n"/>
      <c r="B101">
        <f>IFERROR(INDEX(Universe!$B$3:$B$3002, MATCH($A101, Universe!$A$3:$A$3002, 0)),"")</f>
        <v/>
      </c>
      <c r="C101">
        <f>IFERROR(INDEX(Universe!$D$3:$D$3002, MATCH($A101, Universe!$A$3:$A$3002, 0)),"")</f>
        <v/>
      </c>
      <c r="D101" s="5" t="n"/>
      <c r="E101" s="5" t="n"/>
      <c r="F101" s="5" t="n"/>
      <c r="G101" s="12" t="n"/>
      <c r="H101" s="12" t="n"/>
      <c r="I101" s="12" t="n"/>
      <c r="J101" s="12" t="n"/>
      <c r="K101" s="12" t="n"/>
      <c r="L101" s="12" t="n"/>
      <c r="M101" s="5" t="n"/>
      <c r="N101" s="12" t="n"/>
      <c r="O101" s="12" t="n"/>
      <c r="P101" s="13" t="n"/>
      <c r="Q101" s="13" t="n"/>
      <c r="R101" s="11" t="n"/>
      <c r="S101" s="11" t="n"/>
      <c r="T101" s="11" t="n"/>
      <c r="V101" s="14" t="n"/>
      <c r="W101" s="14" t="n"/>
      <c r="X101" s="14" t="n"/>
    </row>
    <row r="102">
      <c r="A102" s="11" t="n"/>
      <c r="B102">
        <f>IFERROR(INDEX(Universe!$B$3:$B$3002, MATCH($A102, Universe!$A$3:$A$3002, 0)),"")</f>
        <v/>
      </c>
      <c r="C102">
        <f>IFERROR(INDEX(Universe!$D$3:$D$3002, MATCH($A102, Universe!$A$3:$A$3002, 0)),"")</f>
        <v/>
      </c>
      <c r="D102" s="5" t="n"/>
      <c r="E102" s="5" t="n"/>
      <c r="F102" s="5" t="n"/>
      <c r="G102" s="12" t="n"/>
      <c r="H102" s="12" t="n"/>
      <c r="I102" s="12" t="n"/>
      <c r="J102" s="12" t="n"/>
      <c r="K102" s="12" t="n"/>
      <c r="L102" s="12" t="n"/>
      <c r="M102" s="5" t="n"/>
      <c r="N102" s="12" t="n"/>
      <c r="O102" s="12" t="n"/>
      <c r="P102" s="13" t="n"/>
      <c r="Q102" s="13" t="n"/>
      <c r="R102" s="11" t="n"/>
      <c r="S102" s="11" t="n"/>
      <c r="T102" s="11" t="n"/>
      <c r="V102" s="14" t="n"/>
      <c r="W102" s="14" t="n"/>
      <c r="X102" s="14" t="n"/>
    </row>
    <row r="103">
      <c r="A103" s="11" t="n"/>
      <c r="B103">
        <f>IFERROR(INDEX(Universe!$B$3:$B$3002, MATCH($A103, Universe!$A$3:$A$3002, 0)),"")</f>
        <v/>
      </c>
      <c r="C103">
        <f>IFERROR(INDEX(Universe!$D$3:$D$3002, MATCH($A103, Universe!$A$3:$A$3002, 0)),"")</f>
        <v/>
      </c>
      <c r="D103" s="5" t="n"/>
      <c r="E103" s="5" t="n"/>
      <c r="F103" s="5" t="n"/>
      <c r="G103" s="12" t="n"/>
      <c r="H103" s="12" t="n"/>
      <c r="I103" s="12" t="n"/>
      <c r="J103" s="12" t="n"/>
      <c r="K103" s="12" t="n"/>
      <c r="L103" s="12" t="n"/>
      <c r="M103" s="5" t="n"/>
      <c r="N103" s="12" t="n"/>
      <c r="O103" s="12" t="n"/>
      <c r="P103" s="13" t="n"/>
      <c r="Q103" s="13" t="n"/>
      <c r="R103" s="11" t="n"/>
      <c r="S103" s="11" t="n"/>
      <c r="T103" s="11" t="n"/>
      <c r="V103" s="14" t="n"/>
      <c r="W103" s="14" t="n"/>
      <c r="X103" s="14" t="n"/>
    </row>
    <row r="104">
      <c r="A104" s="11" t="n"/>
      <c r="B104">
        <f>IFERROR(INDEX(Universe!$B$3:$B$3002, MATCH($A104, Universe!$A$3:$A$3002, 0)),"")</f>
        <v/>
      </c>
      <c r="C104">
        <f>IFERROR(INDEX(Universe!$D$3:$D$3002, MATCH($A104, Universe!$A$3:$A$3002, 0)),"")</f>
        <v/>
      </c>
      <c r="D104" s="5" t="n"/>
      <c r="E104" s="5" t="n"/>
      <c r="F104" s="5" t="n"/>
      <c r="G104" s="12" t="n"/>
      <c r="H104" s="12" t="n"/>
      <c r="I104" s="12" t="n"/>
      <c r="J104" s="12" t="n"/>
      <c r="K104" s="12" t="n"/>
      <c r="L104" s="12" t="n"/>
      <c r="M104" s="5" t="n"/>
      <c r="N104" s="12" t="n"/>
      <c r="O104" s="12" t="n"/>
      <c r="P104" s="13" t="n"/>
      <c r="Q104" s="13" t="n"/>
      <c r="R104" s="11" t="n"/>
      <c r="S104" s="11" t="n"/>
      <c r="T104" s="11" t="n"/>
      <c r="V104" s="14" t="n"/>
      <c r="W104" s="14" t="n"/>
      <c r="X104" s="14" t="n"/>
    </row>
    <row r="105">
      <c r="A105" s="11" t="n"/>
      <c r="B105">
        <f>IFERROR(INDEX(Universe!$B$3:$B$3002, MATCH($A105, Universe!$A$3:$A$3002, 0)),"")</f>
        <v/>
      </c>
      <c r="C105">
        <f>IFERROR(INDEX(Universe!$D$3:$D$3002, MATCH($A105, Universe!$A$3:$A$3002, 0)),"")</f>
        <v/>
      </c>
      <c r="D105" s="5" t="n"/>
      <c r="E105" s="5" t="n"/>
      <c r="F105" s="5" t="n"/>
      <c r="G105" s="12" t="n"/>
      <c r="H105" s="12" t="n"/>
      <c r="I105" s="12" t="n"/>
      <c r="J105" s="12" t="n"/>
      <c r="K105" s="12" t="n"/>
      <c r="L105" s="12" t="n"/>
      <c r="M105" s="5" t="n"/>
      <c r="N105" s="12" t="n"/>
      <c r="O105" s="12" t="n"/>
      <c r="P105" s="13" t="n"/>
      <c r="Q105" s="13" t="n"/>
      <c r="R105" s="11" t="n"/>
      <c r="S105" s="11" t="n"/>
      <c r="T105" s="11" t="n"/>
      <c r="V105" s="14" t="n"/>
      <c r="W105" s="14" t="n"/>
      <c r="X105" s="14" t="n"/>
    </row>
    <row r="106">
      <c r="A106" s="11" t="n"/>
      <c r="B106">
        <f>IFERROR(INDEX(Universe!$B$3:$B$3002, MATCH($A106, Universe!$A$3:$A$3002, 0)),"")</f>
        <v/>
      </c>
      <c r="C106">
        <f>IFERROR(INDEX(Universe!$D$3:$D$3002, MATCH($A106, Universe!$A$3:$A$3002, 0)),"")</f>
        <v/>
      </c>
      <c r="D106" s="5" t="n"/>
      <c r="E106" s="5" t="n"/>
      <c r="F106" s="5" t="n"/>
      <c r="G106" s="12" t="n"/>
      <c r="H106" s="12" t="n"/>
      <c r="I106" s="12" t="n"/>
      <c r="J106" s="12" t="n"/>
      <c r="K106" s="12" t="n"/>
      <c r="L106" s="12" t="n"/>
      <c r="M106" s="5" t="n"/>
      <c r="N106" s="12" t="n"/>
      <c r="O106" s="12" t="n"/>
      <c r="P106" s="13" t="n"/>
      <c r="Q106" s="13" t="n"/>
      <c r="R106" s="11" t="n"/>
      <c r="S106" s="11" t="n"/>
      <c r="T106" s="11" t="n"/>
      <c r="V106" s="14" t="n"/>
      <c r="W106" s="14" t="n"/>
      <c r="X106" s="14" t="n"/>
    </row>
    <row r="107">
      <c r="A107" s="11" t="n"/>
      <c r="B107">
        <f>IFERROR(INDEX(Universe!$B$3:$B$3002, MATCH($A107, Universe!$A$3:$A$3002, 0)),"")</f>
        <v/>
      </c>
      <c r="C107">
        <f>IFERROR(INDEX(Universe!$D$3:$D$3002, MATCH($A107, Universe!$A$3:$A$3002, 0)),"")</f>
        <v/>
      </c>
      <c r="D107" s="5" t="n"/>
      <c r="E107" s="5" t="n"/>
      <c r="F107" s="5" t="n"/>
      <c r="G107" s="12" t="n"/>
      <c r="H107" s="12" t="n"/>
      <c r="I107" s="12" t="n"/>
      <c r="J107" s="12" t="n"/>
      <c r="K107" s="12" t="n"/>
      <c r="L107" s="12" t="n"/>
      <c r="M107" s="5" t="n"/>
      <c r="N107" s="12" t="n"/>
      <c r="O107" s="12" t="n"/>
      <c r="P107" s="13" t="n"/>
      <c r="Q107" s="13" t="n"/>
      <c r="R107" s="11" t="n"/>
      <c r="S107" s="11" t="n"/>
      <c r="T107" s="11" t="n"/>
      <c r="V107" s="14" t="n"/>
      <c r="W107" s="14" t="n"/>
      <c r="X107" s="14" t="n"/>
    </row>
    <row r="108">
      <c r="A108" s="11" t="n"/>
      <c r="B108">
        <f>IFERROR(INDEX(Universe!$B$3:$B$3002, MATCH($A108, Universe!$A$3:$A$3002, 0)),"")</f>
        <v/>
      </c>
      <c r="C108">
        <f>IFERROR(INDEX(Universe!$D$3:$D$3002, MATCH($A108, Universe!$A$3:$A$3002, 0)),"")</f>
        <v/>
      </c>
      <c r="D108" s="5" t="n"/>
      <c r="E108" s="5" t="n"/>
      <c r="F108" s="5" t="n"/>
      <c r="G108" s="12" t="n"/>
      <c r="H108" s="12" t="n"/>
      <c r="I108" s="12" t="n"/>
      <c r="J108" s="12" t="n"/>
      <c r="K108" s="12" t="n"/>
      <c r="L108" s="12" t="n"/>
      <c r="M108" s="5" t="n"/>
      <c r="N108" s="12" t="n"/>
      <c r="O108" s="12" t="n"/>
      <c r="P108" s="13" t="n"/>
      <c r="Q108" s="13" t="n"/>
      <c r="R108" s="11" t="n"/>
      <c r="S108" s="11" t="n"/>
      <c r="T108" s="11" t="n"/>
      <c r="V108" s="14" t="n"/>
      <c r="W108" s="14" t="n"/>
      <c r="X108" s="14" t="n"/>
    </row>
    <row r="109">
      <c r="A109" s="11" t="n"/>
      <c r="B109">
        <f>IFERROR(INDEX(Universe!$B$3:$B$3002, MATCH($A109, Universe!$A$3:$A$3002, 0)),"")</f>
        <v/>
      </c>
      <c r="C109">
        <f>IFERROR(INDEX(Universe!$D$3:$D$3002, MATCH($A109, Universe!$A$3:$A$3002, 0)),"")</f>
        <v/>
      </c>
      <c r="D109" s="5" t="n"/>
      <c r="E109" s="5" t="n"/>
      <c r="F109" s="5" t="n"/>
      <c r="G109" s="12" t="n"/>
      <c r="H109" s="12" t="n"/>
      <c r="I109" s="12" t="n"/>
      <c r="J109" s="12" t="n"/>
      <c r="K109" s="12" t="n"/>
      <c r="L109" s="12" t="n"/>
      <c r="M109" s="5" t="n"/>
      <c r="N109" s="12" t="n"/>
      <c r="O109" s="12" t="n"/>
      <c r="P109" s="13" t="n"/>
      <c r="Q109" s="13" t="n"/>
      <c r="R109" s="11" t="n"/>
      <c r="S109" s="11" t="n"/>
      <c r="T109" s="11" t="n"/>
      <c r="V109" s="14" t="n"/>
      <c r="W109" s="14" t="n"/>
      <c r="X109" s="14" t="n"/>
    </row>
    <row r="110">
      <c r="A110" s="11" t="n"/>
      <c r="B110">
        <f>IFERROR(INDEX(Universe!$B$3:$B$3002, MATCH($A110, Universe!$A$3:$A$3002, 0)),"")</f>
        <v/>
      </c>
      <c r="C110">
        <f>IFERROR(INDEX(Universe!$D$3:$D$3002, MATCH($A110, Universe!$A$3:$A$3002, 0)),"")</f>
        <v/>
      </c>
      <c r="D110" s="5" t="n"/>
      <c r="E110" s="5" t="n"/>
      <c r="F110" s="5" t="n"/>
      <c r="G110" s="12" t="n"/>
      <c r="H110" s="12" t="n"/>
      <c r="I110" s="12" t="n"/>
      <c r="J110" s="12" t="n"/>
      <c r="K110" s="12" t="n"/>
      <c r="L110" s="12" t="n"/>
      <c r="M110" s="5" t="n"/>
      <c r="N110" s="12" t="n"/>
      <c r="O110" s="12" t="n"/>
      <c r="P110" s="13" t="n"/>
      <c r="Q110" s="13" t="n"/>
      <c r="R110" s="11" t="n"/>
      <c r="S110" s="11" t="n"/>
      <c r="T110" s="11" t="n"/>
      <c r="V110" s="14" t="n"/>
      <c r="W110" s="14" t="n"/>
      <c r="X110" s="14" t="n"/>
    </row>
    <row r="111">
      <c r="A111" s="11" t="n"/>
      <c r="B111">
        <f>IFERROR(INDEX(Universe!$B$3:$B$3002, MATCH($A111, Universe!$A$3:$A$3002, 0)),"")</f>
        <v/>
      </c>
      <c r="C111">
        <f>IFERROR(INDEX(Universe!$D$3:$D$3002, MATCH($A111, Universe!$A$3:$A$3002, 0)),"")</f>
        <v/>
      </c>
      <c r="D111" s="5" t="n"/>
      <c r="E111" s="5" t="n"/>
      <c r="F111" s="5" t="n"/>
      <c r="G111" s="12" t="n"/>
      <c r="H111" s="12" t="n"/>
      <c r="I111" s="12" t="n"/>
      <c r="J111" s="12" t="n"/>
      <c r="K111" s="12" t="n"/>
      <c r="L111" s="12" t="n"/>
      <c r="M111" s="5" t="n"/>
      <c r="N111" s="12" t="n"/>
      <c r="O111" s="12" t="n"/>
      <c r="P111" s="13" t="n"/>
      <c r="Q111" s="13" t="n"/>
      <c r="R111" s="11" t="n"/>
      <c r="S111" s="11" t="n"/>
      <c r="T111" s="11" t="n"/>
      <c r="V111" s="14" t="n"/>
      <c r="W111" s="14" t="n"/>
      <c r="X111" s="14" t="n"/>
    </row>
    <row r="112">
      <c r="A112" s="11" t="n"/>
      <c r="B112">
        <f>IFERROR(INDEX(Universe!$B$3:$B$3002, MATCH($A112, Universe!$A$3:$A$3002, 0)),"")</f>
        <v/>
      </c>
      <c r="C112">
        <f>IFERROR(INDEX(Universe!$D$3:$D$3002, MATCH($A112, Universe!$A$3:$A$3002, 0)),"")</f>
        <v/>
      </c>
      <c r="D112" s="5" t="n"/>
      <c r="E112" s="5" t="n"/>
      <c r="F112" s="5" t="n"/>
      <c r="G112" s="12" t="n"/>
      <c r="H112" s="12" t="n"/>
      <c r="I112" s="12" t="n"/>
      <c r="J112" s="12" t="n"/>
      <c r="K112" s="12" t="n"/>
      <c r="L112" s="12" t="n"/>
      <c r="M112" s="5" t="n"/>
      <c r="N112" s="12" t="n"/>
      <c r="O112" s="12" t="n"/>
      <c r="P112" s="13" t="n"/>
      <c r="Q112" s="13" t="n"/>
      <c r="R112" s="11" t="n"/>
      <c r="S112" s="11" t="n"/>
      <c r="T112" s="11" t="n"/>
      <c r="V112" s="14" t="n"/>
      <c r="W112" s="14" t="n"/>
      <c r="X112" s="14" t="n"/>
    </row>
    <row r="113">
      <c r="A113" s="11" t="n"/>
      <c r="B113">
        <f>IFERROR(INDEX(Universe!$B$3:$B$3002, MATCH($A113, Universe!$A$3:$A$3002, 0)),"")</f>
        <v/>
      </c>
      <c r="C113">
        <f>IFERROR(INDEX(Universe!$D$3:$D$3002, MATCH($A113, Universe!$A$3:$A$3002, 0)),"")</f>
        <v/>
      </c>
      <c r="D113" s="5" t="n"/>
      <c r="E113" s="5" t="n"/>
      <c r="F113" s="5" t="n"/>
      <c r="G113" s="12" t="n"/>
      <c r="H113" s="12" t="n"/>
      <c r="I113" s="12" t="n"/>
      <c r="J113" s="12" t="n"/>
      <c r="K113" s="12" t="n"/>
      <c r="L113" s="12" t="n"/>
      <c r="M113" s="5" t="n"/>
      <c r="N113" s="12" t="n"/>
      <c r="O113" s="12" t="n"/>
      <c r="P113" s="13" t="n"/>
      <c r="Q113" s="13" t="n"/>
      <c r="R113" s="11" t="n"/>
      <c r="S113" s="11" t="n"/>
      <c r="T113" s="11" t="n"/>
      <c r="V113" s="14" t="n"/>
      <c r="W113" s="14" t="n"/>
      <c r="X113" s="14" t="n"/>
    </row>
    <row r="114">
      <c r="A114" s="11" t="n"/>
      <c r="B114">
        <f>IFERROR(INDEX(Universe!$B$3:$B$3002, MATCH($A114, Universe!$A$3:$A$3002, 0)),"")</f>
        <v/>
      </c>
      <c r="C114">
        <f>IFERROR(INDEX(Universe!$D$3:$D$3002, MATCH($A114, Universe!$A$3:$A$3002, 0)),"")</f>
        <v/>
      </c>
      <c r="D114" s="5" t="n"/>
      <c r="E114" s="5" t="n"/>
      <c r="F114" s="5" t="n"/>
      <c r="G114" s="12" t="n"/>
      <c r="H114" s="12" t="n"/>
      <c r="I114" s="12" t="n"/>
      <c r="J114" s="12" t="n"/>
      <c r="K114" s="12" t="n"/>
      <c r="L114" s="12" t="n"/>
      <c r="M114" s="5" t="n"/>
      <c r="N114" s="12" t="n"/>
      <c r="O114" s="12" t="n"/>
      <c r="P114" s="13" t="n"/>
      <c r="Q114" s="13" t="n"/>
      <c r="R114" s="11" t="n"/>
      <c r="S114" s="11" t="n"/>
      <c r="T114" s="11" t="n"/>
      <c r="V114" s="14" t="n"/>
      <c r="W114" s="14" t="n"/>
      <c r="X114" s="14" t="n"/>
    </row>
    <row r="115">
      <c r="A115" s="11" t="n"/>
      <c r="B115">
        <f>IFERROR(INDEX(Universe!$B$3:$B$3002, MATCH($A115, Universe!$A$3:$A$3002, 0)),"")</f>
        <v/>
      </c>
      <c r="C115">
        <f>IFERROR(INDEX(Universe!$D$3:$D$3002, MATCH($A115, Universe!$A$3:$A$3002, 0)),"")</f>
        <v/>
      </c>
      <c r="D115" s="5" t="n"/>
      <c r="E115" s="5" t="n"/>
      <c r="F115" s="5" t="n"/>
      <c r="G115" s="12" t="n"/>
      <c r="H115" s="12" t="n"/>
      <c r="I115" s="12" t="n"/>
      <c r="J115" s="12" t="n"/>
      <c r="K115" s="12" t="n"/>
      <c r="L115" s="12" t="n"/>
      <c r="M115" s="5" t="n"/>
      <c r="N115" s="12" t="n"/>
      <c r="O115" s="12" t="n"/>
      <c r="P115" s="13" t="n"/>
      <c r="Q115" s="13" t="n"/>
      <c r="R115" s="11" t="n"/>
      <c r="S115" s="11" t="n"/>
      <c r="T115" s="11" t="n"/>
      <c r="V115" s="14" t="n"/>
      <c r="W115" s="14" t="n"/>
      <c r="X115" s="14" t="n"/>
    </row>
    <row r="116">
      <c r="A116" s="11" t="n"/>
      <c r="B116">
        <f>IFERROR(INDEX(Universe!$B$3:$B$3002, MATCH($A116, Universe!$A$3:$A$3002, 0)),"")</f>
        <v/>
      </c>
      <c r="C116">
        <f>IFERROR(INDEX(Universe!$D$3:$D$3002, MATCH($A116, Universe!$A$3:$A$3002, 0)),"")</f>
        <v/>
      </c>
      <c r="D116" s="5" t="n"/>
      <c r="E116" s="5" t="n"/>
      <c r="F116" s="5" t="n"/>
      <c r="G116" s="12" t="n"/>
      <c r="H116" s="12" t="n"/>
      <c r="I116" s="12" t="n"/>
      <c r="J116" s="12" t="n"/>
      <c r="K116" s="12" t="n"/>
      <c r="L116" s="12" t="n"/>
      <c r="M116" s="5" t="n"/>
      <c r="N116" s="12" t="n"/>
      <c r="O116" s="12" t="n"/>
      <c r="P116" s="13" t="n"/>
      <c r="Q116" s="13" t="n"/>
      <c r="R116" s="11" t="n"/>
      <c r="S116" s="11" t="n"/>
      <c r="T116" s="11" t="n"/>
      <c r="V116" s="14" t="n"/>
      <c r="W116" s="14" t="n"/>
      <c r="X116" s="14" t="n"/>
    </row>
    <row r="117">
      <c r="A117" s="11" t="n"/>
      <c r="B117">
        <f>IFERROR(INDEX(Universe!$B$3:$B$3002, MATCH($A117, Universe!$A$3:$A$3002, 0)),"")</f>
        <v/>
      </c>
      <c r="C117">
        <f>IFERROR(INDEX(Universe!$D$3:$D$3002, MATCH($A117, Universe!$A$3:$A$3002, 0)),"")</f>
        <v/>
      </c>
      <c r="D117" s="5" t="n"/>
      <c r="E117" s="5" t="n"/>
      <c r="F117" s="5" t="n"/>
      <c r="G117" s="12" t="n"/>
      <c r="H117" s="12" t="n"/>
      <c r="I117" s="12" t="n"/>
      <c r="J117" s="12" t="n"/>
      <c r="K117" s="12" t="n"/>
      <c r="L117" s="12" t="n"/>
      <c r="M117" s="5" t="n"/>
      <c r="N117" s="12" t="n"/>
      <c r="O117" s="12" t="n"/>
      <c r="P117" s="13" t="n"/>
      <c r="Q117" s="13" t="n"/>
      <c r="R117" s="11" t="n"/>
      <c r="S117" s="11" t="n"/>
      <c r="T117" s="11" t="n"/>
      <c r="V117" s="14" t="n"/>
      <c r="W117" s="14" t="n"/>
      <c r="X117" s="14" t="n"/>
    </row>
    <row r="118">
      <c r="A118" s="11" t="n"/>
      <c r="B118">
        <f>IFERROR(INDEX(Universe!$B$3:$B$3002, MATCH($A118, Universe!$A$3:$A$3002, 0)),"")</f>
        <v/>
      </c>
      <c r="C118">
        <f>IFERROR(INDEX(Universe!$D$3:$D$3002, MATCH($A118, Universe!$A$3:$A$3002, 0)),"")</f>
        <v/>
      </c>
      <c r="D118" s="5" t="n"/>
      <c r="E118" s="5" t="n"/>
      <c r="F118" s="5" t="n"/>
      <c r="G118" s="12" t="n"/>
      <c r="H118" s="12" t="n"/>
      <c r="I118" s="12" t="n"/>
      <c r="J118" s="12" t="n"/>
      <c r="K118" s="12" t="n"/>
      <c r="L118" s="12" t="n"/>
      <c r="M118" s="5" t="n"/>
      <c r="N118" s="12" t="n"/>
      <c r="O118" s="12" t="n"/>
      <c r="P118" s="13" t="n"/>
      <c r="Q118" s="13" t="n"/>
      <c r="R118" s="11" t="n"/>
      <c r="S118" s="11" t="n"/>
      <c r="T118" s="11" t="n"/>
      <c r="V118" s="14" t="n"/>
      <c r="W118" s="14" t="n"/>
      <c r="X118" s="14" t="n"/>
    </row>
    <row r="119">
      <c r="A119" s="11" t="n"/>
      <c r="B119">
        <f>IFERROR(INDEX(Universe!$B$3:$B$3002, MATCH($A119, Universe!$A$3:$A$3002, 0)),"")</f>
        <v/>
      </c>
      <c r="C119">
        <f>IFERROR(INDEX(Universe!$D$3:$D$3002, MATCH($A119, Universe!$A$3:$A$3002, 0)),"")</f>
        <v/>
      </c>
      <c r="D119" s="5" t="n"/>
      <c r="E119" s="5" t="n"/>
      <c r="F119" s="5" t="n"/>
      <c r="G119" s="12" t="n"/>
      <c r="H119" s="12" t="n"/>
      <c r="I119" s="12" t="n"/>
      <c r="J119" s="12" t="n"/>
      <c r="K119" s="12" t="n"/>
      <c r="L119" s="12" t="n"/>
      <c r="M119" s="5" t="n"/>
      <c r="N119" s="12" t="n"/>
      <c r="O119" s="12" t="n"/>
      <c r="P119" s="13" t="n"/>
      <c r="Q119" s="13" t="n"/>
      <c r="R119" s="11" t="n"/>
      <c r="S119" s="11" t="n"/>
      <c r="T119" s="11" t="n"/>
      <c r="V119" s="14" t="n"/>
      <c r="W119" s="14" t="n"/>
      <c r="X119" s="14" t="n"/>
    </row>
    <row r="120">
      <c r="A120" s="11" t="n"/>
      <c r="B120">
        <f>IFERROR(INDEX(Universe!$B$3:$B$3002, MATCH($A120, Universe!$A$3:$A$3002, 0)),"")</f>
        <v/>
      </c>
      <c r="C120">
        <f>IFERROR(INDEX(Universe!$D$3:$D$3002, MATCH($A120, Universe!$A$3:$A$3002, 0)),"")</f>
        <v/>
      </c>
      <c r="D120" s="5" t="n"/>
      <c r="E120" s="5" t="n"/>
      <c r="F120" s="5" t="n"/>
      <c r="G120" s="12" t="n"/>
      <c r="H120" s="12" t="n"/>
      <c r="I120" s="12" t="n"/>
      <c r="J120" s="12" t="n"/>
      <c r="K120" s="12" t="n"/>
      <c r="L120" s="12" t="n"/>
      <c r="M120" s="5" t="n"/>
      <c r="N120" s="12" t="n"/>
      <c r="O120" s="12" t="n"/>
      <c r="P120" s="13" t="n"/>
      <c r="Q120" s="13" t="n"/>
      <c r="R120" s="11" t="n"/>
      <c r="S120" s="11" t="n"/>
      <c r="T120" s="11" t="n"/>
      <c r="V120" s="14" t="n"/>
      <c r="W120" s="14" t="n"/>
      <c r="X120" s="14" t="n"/>
    </row>
    <row r="121">
      <c r="A121" s="11" t="n"/>
      <c r="B121">
        <f>IFERROR(INDEX(Universe!$B$3:$B$3002, MATCH($A121, Universe!$A$3:$A$3002, 0)),"")</f>
        <v/>
      </c>
      <c r="C121">
        <f>IFERROR(INDEX(Universe!$D$3:$D$3002, MATCH($A121, Universe!$A$3:$A$3002, 0)),"")</f>
        <v/>
      </c>
      <c r="D121" s="5" t="n"/>
      <c r="E121" s="5" t="n"/>
      <c r="F121" s="5" t="n"/>
      <c r="G121" s="12" t="n"/>
      <c r="H121" s="12" t="n"/>
      <c r="I121" s="12" t="n"/>
      <c r="J121" s="12" t="n"/>
      <c r="K121" s="12" t="n"/>
      <c r="L121" s="12" t="n"/>
      <c r="M121" s="5" t="n"/>
      <c r="N121" s="12" t="n"/>
      <c r="O121" s="12" t="n"/>
      <c r="P121" s="13" t="n"/>
      <c r="Q121" s="13" t="n"/>
      <c r="R121" s="11" t="n"/>
      <c r="S121" s="11" t="n"/>
      <c r="T121" s="11" t="n"/>
      <c r="V121" s="14" t="n"/>
      <c r="W121" s="14" t="n"/>
      <c r="X121" s="14" t="n"/>
    </row>
    <row r="122">
      <c r="A122" s="11" t="n"/>
      <c r="B122">
        <f>IFERROR(INDEX(Universe!$B$3:$B$3002, MATCH($A122, Universe!$A$3:$A$3002, 0)),"")</f>
        <v/>
      </c>
      <c r="C122">
        <f>IFERROR(INDEX(Universe!$D$3:$D$3002, MATCH($A122, Universe!$A$3:$A$3002, 0)),"")</f>
        <v/>
      </c>
      <c r="D122" s="5" t="n"/>
      <c r="E122" s="5" t="n"/>
      <c r="F122" s="5" t="n"/>
      <c r="G122" s="12" t="n"/>
      <c r="H122" s="12" t="n"/>
      <c r="I122" s="12" t="n"/>
      <c r="J122" s="12" t="n"/>
      <c r="K122" s="12" t="n"/>
      <c r="L122" s="12" t="n"/>
      <c r="M122" s="5" t="n"/>
      <c r="N122" s="12" t="n"/>
      <c r="O122" s="12" t="n"/>
      <c r="P122" s="13" t="n"/>
      <c r="Q122" s="13" t="n"/>
      <c r="R122" s="11" t="n"/>
      <c r="S122" s="11" t="n"/>
      <c r="T122" s="11" t="n"/>
      <c r="V122" s="14" t="n"/>
      <c r="W122" s="14" t="n"/>
      <c r="X122" s="14" t="n"/>
    </row>
    <row r="123">
      <c r="A123" s="11" t="n"/>
      <c r="B123">
        <f>IFERROR(INDEX(Universe!$B$3:$B$3002, MATCH($A123, Universe!$A$3:$A$3002, 0)),"")</f>
        <v/>
      </c>
      <c r="C123">
        <f>IFERROR(INDEX(Universe!$D$3:$D$3002, MATCH($A123, Universe!$A$3:$A$3002, 0)),"")</f>
        <v/>
      </c>
      <c r="D123" s="5" t="n"/>
      <c r="E123" s="5" t="n"/>
      <c r="F123" s="5" t="n"/>
      <c r="G123" s="12" t="n"/>
      <c r="H123" s="12" t="n"/>
      <c r="I123" s="12" t="n"/>
      <c r="J123" s="12" t="n"/>
      <c r="K123" s="12" t="n"/>
      <c r="L123" s="12" t="n"/>
      <c r="M123" s="5" t="n"/>
      <c r="N123" s="12" t="n"/>
      <c r="O123" s="12" t="n"/>
      <c r="P123" s="13" t="n"/>
      <c r="Q123" s="13" t="n"/>
      <c r="R123" s="11" t="n"/>
      <c r="S123" s="11" t="n"/>
      <c r="T123" s="11" t="n"/>
      <c r="V123" s="14" t="n"/>
      <c r="W123" s="14" t="n"/>
      <c r="X123" s="14" t="n"/>
    </row>
    <row r="124">
      <c r="A124" s="11" t="n"/>
      <c r="B124">
        <f>IFERROR(INDEX(Universe!$B$3:$B$3002, MATCH($A124, Universe!$A$3:$A$3002, 0)),"")</f>
        <v/>
      </c>
      <c r="C124">
        <f>IFERROR(INDEX(Universe!$D$3:$D$3002, MATCH($A124, Universe!$A$3:$A$3002, 0)),"")</f>
        <v/>
      </c>
      <c r="D124" s="5" t="n"/>
      <c r="E124" s="5" t="n"/>
      <c r="F124" s="5" t="n"/>
      <c r="G124" s="12" t="n"/>
      <c r="H124" s="12" t="n"/>
      <c r="I124" s="12" t="n"/>
      <c r="J124" s="12" t="n"/>
      <c r="K124" s="12" t="n"/>
      <c r="L124" s="12" t="n"/>
      <c r="M124" s="5" t="n"/>
      <c r="N124" s="12" t="n"/>
      <c r="O124" s="12" t="n"/>
      <c r="P124" s="13" t="n"/>
      <c r="Q124" s="13" t="n"/>
      <c r="R124" s="11" t="n"/>
      <c r="S124" s="11" t="n"/>
      <c r="T124" s="11" t="n"/>
      <c r="V124" s="14" t="n"/>
      <c r="W124" s="14" t="n"/>
      <c r="X124" s="14" t="n"/>
    </row>
    <row r="125">
      <c r="A125" s="11" t="n"/>
      <c r="B125">
        <f>IFERROR(INDEX(Universe!$B$3:$B$3002, MATCH($A125, Universe!$A$3:$A$3002, 0)),"")</f>
        <v/>
      </c>
      <c r="C125">
        <f>IFERROR(INDEX(Universe!$D$3:$D$3002, MATCH($A125, Universe!$A$3:$A$3002, 0)),"")</f>
        <v/>
      </c>
      <c r="D125" s="5" t="n"/>
      <c r="E125" s="5" t="n"/>
      <c r="F125" s="5" t="n"/>
      <c r="G125" s="12" t="n"/>
      <c r="H125" s="12" t="n"/>
      <c r="I125" s="12" t="n"/>
      <c r="J125" s="12" t="n"/>
      <c r="K125" s="12" t="n"/>
      <c r="L125" s="12" t="n"/>
      <c r="M125" s="5" t="n"/>
      <c r="N125" s="12" t="n"/>
      <c r="O125" s="12" t="n"/>
      <c r="P125" s="13" t="n"/>
      <c r="Q125" s="13" t="n"/>
      <c r="R125" s="11" t="n"/>
      <c r="S125" s="11" t="n"/>
      <c r="T125" s="11" t="n"/>
      <c r="V125" s="14" t="n"/>
      <c r="W125" s="14" t="n"/>
      <c r="X125" s="14" t="n"/>
    </row>
    <row r="126">
      <c r="A126" s="11" t="n"/>
      <c r="B126">
        <f>IFERROR(INDEX(Universe!$B$3:$B$3002, MATCH($A126, Universe!$A$3:$A$3002, 0)),"")</f>
        <v/>
      </c>
      <c r="C126">
        <f>IFERROR(INDEX(Universe!$D$3:$D$3002, MATCH($A126, Universe!$A$3:$A$3002, 0)),"")</f>
        <v/>
      </c>
      <c r="D126" s="5" t="n"/>
      <c r="E126" s="5" t="n"/>
      <c r="F126" s="5" t="n"/>
      <c r="G126" s="12" t="n"/>
      <c r="H126" s="12" t="n"/>
      <c r="I126" s="12" t="n"/>
      <c r="J126" s="12" t="n"/>
      <c r="K126" s="12" t="n"/>
      <c r="L126" s="12" t="n"/>
      <c r="M126" s="5" t="n"/>
      <c r="N126" s="12" t="n"/>
      <c r="O126" s="12" t="n"/>
      <c r="P126" s="13" t="n"/>
      <c r="Q126" s="13" t="n"/>
      <c r="R126" s="11" t="n"/>
      <c r="S126" s="11" t="n"/>
      <c r="T126" s="11" t="n"/>
      <c r="V126" s="14" t="n"/>
      <c r="W126" s="14" t="n"/>
      <c r="X126" s="14" t="n"/>
    </row>
    <row r="127">
      <c r="A127" s="11" t="n"/>
      <c r="B127">
        <f>IFERROR(INDEX(Universe!$B$3:$B$3002, MATCH($A127, Universe!$A$3:$A$3002, 0)),"")</f>
        <v/>
      </c>
      <c r="C127">
        <f>IFERROR(INDEX(Universe!$D$3:$D$3002, MATCH($A127, Universe!$A$3:$A$3002, 0)),"")</f>
        <v/>
      </c>
      <c r="D127" s="5" t="n"/>
      <c r="E127" s="5" t="n"/>
      <c r="F127" s="5" t="n"/>
      <c r="G127" s="12" t="n"/>
      <c r="H127" s="12" t="n"/>
      <c r="I127" s="12" t="n"/>
      <c r="J127" s="12" t="n"/>
      <c r="K127" s="12" t="n"/>
      <c r="L127" s="12" t="n"/>
      <c r="M127" s="5" t="n"/>
      <c r="N127" s="12" t="n"/>
      <c r="O127" s="12" t="n"/>
      <c r="P127" s="13" t="n"/>
      <c r="Q127" s="13" t="n"/>
      <c r="R127" s="11" t="n"/>
      <c r="S127" s="11" t="n"/>
      <c r="T127" s="11" t="n"/>
      <c r="V127" s="14" t="n"/>
      <c r="W127" s="14" t="n"/>
      <c r="X127" s="14" t="n"/>
    </row>
    <row r="128">
      <c r="A128" s="11" t="n"/>
      <c r="B128">
        <f>IFERROR(INDEX(Universe!$B$3:$B$3002, MATCH($A128, Universe!$A$3:$A$3002, 0)),"")</f>
        <v/>
      </c>
      <c r="C128">
        <f>IFERROR(INDEX(Universe!$D$3:$D$3002, MATCH($A128, Universe!$A$3:$A$3002, 0)),"")</f>
        <v/>
      </c>
      <c r="D128" s="5" t="n"/>
      <c r="E128" s="5" t="n"/>
      <c r="F128" s="5" t="n"/>
      <c r="G128" s="12" t="n"/>
      <c r="H128" s="12" t="n"/>
      <c r="I128" s="12" t="n"/>
      <c r="J128" s="12" t="n"/>
      <c r="K128" s="12" t="n"/>
      <c r="L128" s="12" t="n"/>
      <c r="M128" s="5" t="n"/>
      <c r="N128" s="12" t="n"/>
      <c r="O128" s="12" t="n"/>
      <c r="P128" s="13" t="n"/>
      <c r="Q128" s="13" t="n"/>
      <c r="R128" s="11" t="n"/>
      <c r="S128" s="11" t="n"/>
      <c r="T128" s="11" t="n"/>
      <c r="V128" s="14" t="n"/>
      <c r="W128" s="14" t="n"/>
      <c r="X128" s="14" t="n"/>
    </row>
    <row r="129">
      <c r="A129" s="11" t="n"/>
      <c r="B129">
        <f>IFERROR(INDEX(Universe!$B$3:$B$3002, MATCH($A129, Universe!$A$3:$A$3002, 0)),"")</f>
        <v/>
      </c>
      <c r="C129">
        <f>IFERROR(INDEX(Universe!$D$3:$D$3002, MATCH($A129, Universe!$A$3:$A$3002, 0)),"")</f>
        <v/>
      </c>
      <c r="D129" s="5" t="n"/>
      <c r="E129" s="5" t="n"/>
      <c r="F129" s="5" t="n"/>
      <c r="G129" s="12" t="n"/>
      <c r="H129" s="12" t="n"/>
      <c r="I129" s="12" t="n"/>
      <c r="J129" s="12" t="n"/>
      <c r="K129" s="12" t="n"/>
      <c r="L129" s="12" t="n"/>
      <c r="M129" s="5" t="n"/>
      <c r="N129" s="12" t="n"/>
      <c r="O129" s="12" t="n"/>
      <c r="P129" s="13" t="n"/>
      <c r="Q129" s="13" t="n"/>
      <c r="R129" s="11" t="n"/>
      <c r="S129" s="11" t="n"/>
      <c r="T129" s="11" t="n"/>
      <c r="V129" s="14" t="n"/>
      <c r="W129" s="14" t="n"/>
      <c r="X129" s="14" t="n"/>
    </row>
    <row r="130">
      <c r="A130" s="11" t="n"/>
      <c r="B130">
        <f>IFERROR(INDEX(Universe!$B$3:$B$3002, MATCH($A130, Universe!$A$3:$A$3002, 0)),"")</f>
        <v/>
      </c>
      <c r="C130">
        <f>IFERROR(INDEX(Universe!$D$3:$D$3002, MATCH($A130, Universe!$A$3:$A$3002, 0)),"")</f>
        <v/>
      </c>
      <c r="D130" s="5" t="n"/>
      <c r="E130" s="5" t="n"/>
      <c r="F130" s="5" t="n"/>
      <c r="G130" s="12" t="n"/>
      <c r="H130" s="12" t="n"/>
      <c r="I130" s="12" t="n"/>
      <c r="J130" s="12" t="n"/>
      <c r="K130" s="12" t="n"/>
      <c r="L130" s="12" t="n"/>
      <c r="M130" s="5" t="n"/>
      <c r="N130" s="12" t="n"/>
      <c r="O130" s="12" t="n"/>
      <c r="P130" s="13" t="n"/>
      <c r="Q130" s="13" t="n"/>
      <c r="R130" s="11" t="n"/>
      <c r="S130" s="11" t="n"/>
      <c r="T130" s="11" t="n"/>
      <c r="V130" s="14" t="n"/>
      <c r="W130" s="14" t="n"/>
      <c r="X130" s="14" t="n"/>
    </row>
    <row r="131">
      <c r="A131" s="11" t="n"/>
      <c r="B131">
        <f>IFERROR(INDEX(Universe!$B$3:$B$3002, MATCH($A131, Universe!$A$3:$A$3002, 0)),"")</f>
        <v/>
      </c>
      <c r="C131">
        <f>IFERROR(INDEX(Universe!$D$3:$D$3002, MATCH($A131, Universe!$A$3:$A$3002, 0)),"")</f>
        <v/>
      </c>
      <c r="D131" s="5" t="n"/>
      <c r="E131" s="5" t="n"/>
      <c r="F131" s="5" t="n"/>
      <c r="G131" s="12" t="n"/>
      <c r="H131" s="12" t="n"/>
      <c r="I131" s="12" t="n"/>
      <c r="J131" s="12" t="n"/>
      <c r="K131" s="12" t="n"/>
      <c r="L131" s="12" t="n"/>
      <c r="M131" s="5" t="n"/>
      <c r="N131" s="12" t="n"/>
      <c r="O131" s="12" t="n"/>
      <c r="P131" s="13" t="n"/>
      <c r="Q131" s="13" t="n"/>
      <c r="R131" s="11" t="n"/>
      <c r="S131" s="11" t="n"/>
      <c r="T131" s="11" t="n"/>
      <c r="V131" s="14" t="n"/>
      <c r="W131" s="14" t="n"/>
      <c r="X131" s="14" t="n"/>
    </row>
    <row r="132">
      <c r="A132" s="11" t="n"/>
      <c r="B132">
        <f>IFERROR(INDEX(Universe!$B$3:$B$3002, MATCH($A132, Universe!$A$3:$A$3002, 0)),"")</f>
        <v/>
      </c>
      <c r="C132">
        <f>IFERROR(INDEX(Universe!$D$3:$D$3002, MATCH($A132, Universe!$A$3:$A$3002, 0)),"")</f>
        <v/>
      </c>
      <c r="D132" s="5" t="n"/>
      <c r="E132" s="5" t="n"/>
      <c r="F132" s="5" t="n"/>
      <c r="G132" s="12" t="n"/>
      <c r="H132" s="12" t="n"/>
      <c r="I132" s="12" t="n"/>
      <c r="J132" s="12" t="n"/>
      <c r="K132" s="12" t="n"/>
      <c r="L132" s="12" t="n"/>
      <c r="M132" s="5" t="n"/>
      <c r="N132" s="12" t="n"/>
      <c r="O132" s="12" t="n"/>
      <c r="P132" s="13" t="n"/>
      <c r="Q132" s="13" t="n"/>
      <c r="R132" s="11" t="n"/>
      <c r="S132" s="11" t="n"/>
      <c r="T132" s="11" t="n"/>
      <c r="V132" s="14" t="n"/>
      <c r="W132" s="14" t="n"/>
      <c r="X132" s="14" t="n"/>
    </row>
    <row r="133">
      <c r="A133" s="11" t="n"/>
      <c r="B133">
        <f>IFERROR(INDEX(Universe!$B$3:$B$3002, MATCH($A133, Universe!$A$3:$A$3002, 0)),"")</f>
        <v/>
      </c>
      <c r="C133">
        <f>IFERROR(INDEX(Universe!$D$3:$D$3002, MATCH($A133, Universe!$A$3:$A$3002, 0)),"")</f>
        <v/>
      </c>
      <c r="D133" s="5" t="n"/>
      <c r="E133" s="5" t="n"/>
      <c r="F133" s="5" t="n"/>
      <c r="G133" s="12" t="n"/>
      <c r="H133" s="12" t="n"/>
      <c r="I133" s="12" t="n"/>
      <c r="J133" s="12" t="n"/>
      <c r="K133" s="12" t="n"/>
      <c r="L133" s="12" t="n"/>
      <c r="M133" s="5" t="n"/>
      <c r="N133" s="12" t="n"/>
      <c r="O133" s="12" t="n"/>
      <c r="P133" s="13" t="n"/>
      <c r="Q133" s="13" t="n"/>
      <c r="R133" s="11" t="n"/>
      <c r="S133" s="11" t="n"/>
      <c r="T133" s="11" t="n"/>
      <c r="V133" s="14" t="n"/>
      <c r="W133" s="14" t="n"/>
      <c r="X133" s="14" t="n"/>
    </row>
    <row r="134">
      <c r="A134" s="11" t="n"/>
      <c r="B134">
        <f>IFERROR(INDEX(Universe!$B$3:$B$3002, MATCH($A134, Universe!$A$3:$A$3002, 0)),"")</f>
        <v/>
      </c>
      <c r="C134">
        <f>IFERROR(INDEX(Universe!$D$3:$D$3002, MATCH($A134, Universe!$A$3:$A$3002, 0)),"")</f>
        <v/>
      </c>
      <c r="D134" s="5" t="n"/>
      <c r="E134" s="5" t="n"/>
      <c r="F134" s="5" t="n"/>
      <c r="G134" s="12" t="n"/>
      <c r="H134" s="12" t="n"/>
      <c r="I134" s="12" t="n"/>
      <c r="J134" s="12" t="n"/>
      <c r="K134" s="12" t="n"/>
      <c r="L134" s="12" t="n"/>
      <c r="M134" s="5" t="n"/>
      <c r="N134" s="12" t="n"/>
      <c r="O134" s="12" t="n"/>
      <c r="P134" s="13" t="n"/>
      <c r="Q134" s="13" t="n"/>
      <c r="R134" s="11" t="n"/>
      <c r="S134" s="11" t="n"/>
      <c r="T134" s="11" t="n"/>
      <c r="V134" s="14" t="n"/>
      <c r="W134" s="14" t="n"/>
      <c r="X134" s="14" t="n"/>
    </row>
    <row r="135">
      <c r="A135" s="11" t="n"/>
      <c r="B135">
        <f>IFERROR(INDEX(Universe!$B$3:$B$3002, MATCH($A135, Universe!$A$3:$A$3002, 0)),"")</f>
        <v/>
      </c>
      <c r="C135">
        <f>IFERROR(INDEX(Universe!$D$3:$D$3002, MATCH($A135, Universe!$A$3:$A$3002, 0)),"")</f>
        <v/>
      </c>
      <c r="D135" s="5" t="n"/>
      <c r="E135" s="5" t="n"/>
      <c r="F135" s="5" t="n"/>
      <c r="G135" s="12" t="n"/>
      <c r="H135" s="12" t="n"/>
      <c r="I135" s="12" t="n"/>
      <c r="J135" s="12" t="n"/>
      <c r="K135" s="12" t="n"/>
      <c r="L135" s="12" t="n"/>
      <c r="M135" s="5" t="n"/>
      <c r="N135" s="12" t="n"/>
      <c r="O135" s="12" t="n"/>
      <c r="P135" s="13" t="n"/>
      <c r="Q135" s="13" t="n"/>
      <c r="R135" s="11" t="n"/>
      <c r="S135" s="11" t="n"/>
      <c r="T135" s="11" t="n"/>
      <c r="V135" s="14" t="n"/>
      <c r="W135" s="14" t="n"/>
      <c r="X135" s="14" t="n"/>
    </row>
    <row r="136">
      <c r="A136" s="11" t="n"/>
      <c r="B136">
        <f>IFERROR(INDEX(Universe!$B$3:$B$3002, MATCH($A136, Universe!$A$3:$A$3002, 0)),"")</f>
        <v/>
      </c>
      <c r="C136">
        <f>IFERROR(INDEX(Universe!$D$3:$D$3002, MATCH($A136, Universe!$A$3:$A$3002, 0)),"")</f>
        <v/>
      </c>
      <c r="D136" s="5" t="n"/>
      <c r="E136" s="5" t="n"/>
      <c r="F136" s="5" t="n"/>
      <c r="G136" s="12" t="n"/>
      <c r="H136" s="12" t="n"/>
      <c r="I136" s="12" t="n"/>
      <c r="J136" s="12" t="n"/>
      <c r="K136" s="12" t="n"/>
      <c r="L136" s="12" t="n"/>
      <c r="M136" s="5" t="n"/>
      <c r="N136" s="12" t="n"/>
      <c r="O136" s="12" t="n"/>
      <c r="P136" s="13" t="n"/>
      <c r="Q136" s="13" t="n"/>
      <c r="R136" s="11" t="n"/>
      <c r="S136" s="11" t="n"/>
      <c r="T136" s="11" t="n"/>
      <c r="V136" s="14" t="n"/>
      <c r="W136" s="14" t="n"/>
      <c r="X136" s="14" t="n"/>
    </row>
    <row r="137">
      <c r="A137" s="11" t="n"/>
      <c r="B137">
        <f>IFERROR(INDEX(Universe!$B$3:$B$3002, MATCH($A137, Universe!$A$3:$A$3002, 0)),"")</f>
        <v/>
      </c>
      <c r="C137">
        <f>IFERROR(INDEX(Universe!$D$3:$D$3002, MATCH($A137, Universe!$A$3:$A$3002, 0)),"")</f>
        <v/>
      </c>
      <c r="D137" s="5" t="n"/>
      <c r="E137" s="5" t="n"/>
      <c r="F137" s="5" t="n"/>
      <c r="G137" s="12" t="n"/>
      <c r="H137" s="12" t="n"/>
      <c r="I137" s="12" t="n"/>
      <c r="J137" s="12" t="n"/>
      <c r="K137" s="12" t="n"/>
      <c r="L137" s="12" t="n"/>
      <c r="M137" s="5" t="n"/>
      <c r="N137" s="12" t="n"/>
      <c r="O137" s="12" t="n"/>
      <c r="P137" s="13" t="n"/>
      <c r="Q137" s="13" t="n"/>
      <c r="R137" s="11" t="n"/>
      <c r="S137" s="11" t="n"/>
      <c r="T137" s="11" t="n"/>
      <c r="V137" s="14" t="n"/>
      <c r="W137" s="14" t="n"/>
      <c r="X137" s="14" t="n"/>
    </row>
    <row r="138">
      <c r="A138" s="11" t="n"/>
      <c r="B138">
        <f>IFERROR(INDEX(Universe!$B$3:$B$3002, MATCH($A138, Universe!$A$3:$A$3002, 0)),"")</f>
        <v/>
      </c>
      <c r="C138">
        <f>IFERROR(INDEX(Universe!$D$3:$D$3002, MATCH($A138, Universe!$A$3:$A$3002, 0)),"")</f>
        <v/>
      </c>
      <c r="D138" s="5" t="n"/>
      <c r="E138" s="5" t="n"/>
      <c r="F138" s="5" t="n"/>
      <c r="G138" s="12" t="n"/>
      <c r="H138" s="12" t="n"/>
      <c r="I138" s="12" t="n"/>
      <c r="J138" s="12" t="n"/>
      <c r="K138" s="12" t="n"/>
      <c r="L138" s="12" t="n"/>
      <c r="M138" s="5" t="n"/>
      <c r="N138" s="12" t="n"/>
      <c r="O138" s="12" t="n"/>
      <c r="P138" s="13" t="n"/>
      <c r="Q138" s="13" t="n"/>
      <c r="R138" s="11" t="n"/>
      <c r="S138" s="11" t="n"/>
      <c r="T138" s="11" t="n"/>
      <c r="V138" s="14" t="n"/>
      <c r="W138" s="14" t="n"/>
      <c r="X138" s="14" t="n"/>
    </row>
    <row r="139">
      <c r="A139" s="11" t="n"/>
      <c r="B139">
        <f>IFERROR(INDEX(Universe!$B$3:$B$3002, MATCH($A139, Universe!$A$3:$A$3002, 0)),"")</f>
        <v/>
      </c>
      <c r="C139">
        <f>IFERROR(INDEX(Universe!$D$3:$D$3002, MATCH($A139, Universe!$A$3:$A$3002, 0)),"")</f>
        <v/>
      </c>
      <c r="D139" s="5" t="n"/>
      <c r="E139" s="5" t="n"/>
      <c r="F139" s="5" t="n"/>
      <c r="G139" s="12" t="n"/>
      <c r="H139" s="12" t="n"/>
      <c r="I139" s="12" t="n"/>
      <c r="J139" s="12" t="n"/>
      <c r="K139" s="12" t="n"/>
      <c r="L139" s="12" t="n"/>
      <c r="M139" s="5" t="n"/>
      <c r="N139" s="12" t="n"/>
      <c r="O139" s="12" t="n"/>
      <c r="P139" s="13" t="n"/>
      <c r="Q139" s="13" t="n"/>
      <c r="R139" s="11" t="n"/>
      <c r="S139" s="11" t="n"/>
      <c r="T139" s="11" t="n"/>
      <c r="V139" s="14" t="n"/>
      <c r="W139" s="14" t="n"/>
      <c r="X139" s="14" t="n"/>
    </row>
    <row r="140">
      <c r="A140" s="11" t="n"/>
      <c r="B140">
        <f>IFERROR(INDEX(Universe!$B$3:$B$3002, MATCH($A140, Universe!$A$3:$A$3002, 0)),"")</f>
        <v/>
      </c>
      <c r="C140">
        <f>IFERROR(INDEX(Universe!$D$3:$D$3002, MATCH($A140, Universe!$A$3:$A$3002, 0)),"")</f>
        <v/>
      </c>
      <c r="D140" s="5" t="n"/>
      <c r="E140" s="5" t="n"/>
      <c r="F140" s="5" t="n"/>
      <c r="G140" s="12" t="n"/>
      <c r="H140" s="12" t="n"/>
      <c r="I140" s="12" t="n"/>
      <c r="J140" s="12" t="n"/>
      <c r="K140" s="12" t="n"/>
      <c r="L140" s="12" t="n"/>
      <c r="M140" s="5" t="n"/>
      <c r="N140" s="12" t="n"/>
      <c r="O140" s="12" t="n"/>
      <c r="P140" s="13" t="n"/>
      <c r="Q140" s="13" t="n"/>
      <c r="R140" s="11" t="n"/>
      <c r="S140" s="11" t="n"/>
      <c r="T140" s="11" t="n"/>
      <c r="V140" s="14" t="n"/>
      <c r="W140" s="14" t="n"/>
      <c r="X140" s="14" t="n"/>
    </row>
    <row r="141">
      <c r="A141" s="11" t="n"/>
      <c r="B141">
        <f>IFERROR(INDEX(Universe!$B$3:$B$3002, MATCH($A141, Universe!$A$3:$A$3002, 0)),"")</f>
        <v/>
      </c>
      <c r="C141">
        <f>IFERROR(INDEX(Universe!$D$3:$D$3002, MATCH($A141, Universe!$A$3:$A$3002, 0)),"")</f>
        <v/>
      </c>
      <c r="D141" s="5" t="n"/>
      <c r="E141" s="5" t="n"/>
      <c r="F141" s="5" t="n"/>
      <c r="G141" s="12" t="n"/>
      <c r="H141" s="12" t="n"/>
      <c r="I141" s="12" t="n"/>
      <c r="J141" s="12" t="n"/>
      <c r="K141" s="12" t="n"/>
      <c r="L141" s="12" t="n"/>
      <c r="M141" s="5" t="n"/>
      <c r="N141" s="12" t="n"/>
      <c r="O141" s="12" t="n"/>
      <c r="P141" s="13" t="n"/>
      <c r="Q141" s="13" t="n"/>
      <c r="R141" s="11" t="n"/>
      <c r="S141" s="11" t="n"/>
      <c r="T141" s="11" t="n"/>
      <c r="V141" s="14" t="n"/>
      <c r="W141" s="14" t="n"/>
      <c r="X141" s="14" t="n"/>
    </row>
    <row r="142">
      <c r="A142" s="11" t="n"/>
      <c r="B142">
        <f>IFERROR(INDEX(Universe!$B$3:$B$3002, MATCH($A142, Universe!$A$3:$A$3002, 0)),"")</f>
        <v/>
      </c>
      <c r="C142">
        <f>IFERROR(INDEX(Universe!$D$3:$D$3002, MATCH($A142, Universe!$A$3:$A$3002, 0)),"")</f>
        <v/>
      </c>
      <c r="D142" s="5" t="n"/>
      <c r="E142" s="5" t="n"/>
      <c r="F142" s="5" t="n"/>
      <c r="G142" s="12" t="n"/>
      <c r="H142" s="12" t="n"/>
      <c r="I142" s="12" t="n"/>
      <c r="J142" s="12" t="n"/>
      <c r="K142" s="12" t="n"/>
      <c r="L142" s="12" t="n"/>
      <c r="M142" s="5" t="n"/>
      <c r="N142" s="12" t="n"/>
      <c r="O142" s="12" t="n"/>
      <c r="P142" s="13" t="n"/>
      <c r="Q142" s="13" t="n"/>
      <c r="R142" s="11" t="n"/>
      <c r="S142" s="11" t="n"/>
      <c r="T142" s="11" t="n"/>
      <c r="V142" s="14" t="n"/>
      <c r="W142" s="14" t="n"/>
      <c r="X142" s="14" t="n"/>
    </row>
    <row r="143">
      <c r="A143" s="11" t="n"/>
      <c r="B143">
        <f>IFERROR(INDEX(Universe!$B$3:$B$3002, MATCH($A143, Universe!$A$3:$A$3002, 0)),"")</f>
        <v/>
      </c>
      <c r="C143">
        <f>IFERROR(INDEX(Universe!$D$3:$D$3002, MATCH($A143, Universe!$A$3:$A$3002, 0)),"")</f>
        <v/>
      </c>
      <c r="D143" s="5" t="n"/>
      <c r="E143" s="5" t="n"/>
      <c r="F143" s="5" t="n"/>
      <c r="G143" s="12" t="n"/>
      <c r="H143" s="12" t="n"/>
      <c r="I143" s="12" t="n"/>
      <c r="J143" s="12" t="n"/>
      <c r="K143" s="12" t="n"/>
      <c r="L143" s="12" t="n"/>
      <c r="M143" s="5" t="n"/>
      <c r="N143" s="12" t="n"/>
      <c r="O143" s="12" t="n"/>
      <c r="P143" s="13" t="n"/>
      <c r="Q143" s="13" t="n"/>
      <c r="R143" s="11" t="n"/>
      <c r="S143" s="11" t="n"/>
      <c r="T143" s="11" t="n"/>
      <c r="V143" s="14" t="n"/>
      <c r="W143" s="14" t="n"/>
      <c r="X143" s="14" t="n"/>
    </row>
    <row r="144">
      <c r="A144" s="11" t="n"/>
      <c r="B144">
        <f>IFERROR(INDEX(Universe!$B$3:$B$3002, MATCH($A144, Universe!$A$3:$A$3002, 0)),"")</f>
        <v/>
      </c>
      <c r="C144">
        <f>IFERROR(INDEX(Universe!$D$3:$D$3002, MATCH($A144, Universe!$A$3:$A$3002, 0)),"")</f>
        <v/>
      </c>
      <c r="D144" s="5" t="n"/>
      <c r="E144" s="5" t="n"/>
      <c r="F144" s="5" t="n"/>
      <c r="G144" s="12" t="n"/>
      <c r="H144" s="12" t="n"/>
      <c r="I144" s="12" t="n"/>
      <c r="J144" s="12" t="n"/>
      <c r="K144" s="12" t="n"/>
      <c r="L144" s="12" t="n"/>
      <c r="M144" s="5" t="n"/>
      <c r="N144" s="12" t="n"/>
      <c r="O144" s="12" t="n"/>
      <c r="P144" s="13" t="n"/>
      <c r="Q144" s="13" t="n"/>
      <c r="R144" s="11" t="n"/>
      <c r="S144" s="11" t="n"/>
      <c r="T144" s="11" t="n"/>
      <c r="V144" s="14" t="n"/>
      <c r="W144" s="14" t="n"/>
      <c r="X144" s="14" t="n"/>
    </row>
    <row r="145">
      <c r="A145" s="11" t="n"/>
      <c r="B145">
        <f>IFERROR(INDEX(Universe!$B$3:$B$3002, MATCH($A145, Universe!$A$3:$A$3002, 0)),"")</f>
        <v/>
      </c>
      <c r="C145">
        <f>IFERROR(INDEX(Universe!$D$3:$D$3002, MATCH($A145, Universe!$A$3:$A$3002, 0)),"")</f>
        <v/>
      </c>
      <c r="D145" s="5" t="n"/>
      <c r="E145" s="5" t="n"/>
      <c r="F145" s="5" t="n"/>
      <c r="G145" s="12" t="n"/>
      <c r="H145" s="12" t="n"/>
      <c r="I145" s="12" t="n"/>
      <c r="J145" s="12" t="n"/>
      <c r="K145" s="12" t="n"/>
      <c r="L145" s="12" t="n"/>
      <c r="M145" s="5" t="n"/>
      <c r="N145" s="12" t="n"/>
      <c r="O145" s="12" t="n"/>
      <c r="P145" s="13" t="n"/>
      <c r="Q145" s="13" t="n"/>
      <c r="R145" s="11" t="n"/>
      <c r="S145" s="11" t="n"/>
      <c r="T145" s="11" t="n"/>
      <c r="V145" s="14" t="n"/>
      <c r="W145" s="14" t="n"/>
      <c r="X145" s="14" t="n"/>
    </row>
    <row r="146">
      <c r="A146" s="11" t="n"/>
      <c r="B146">
        <f>IFERROR(INDEX(Universe!$B$3:$B$3002, MATCH($A146, Universe!$A$3:$A$3002, 0)),"")</f>
        <v/>
      </c>
      <c r="C146">
        <f>IFERROR(INDEX(Universe!$D$3:$D$3002, MATCH($A146, Universe!$A$3:$A$3002, 0)),"")</f>
        <v/>
      </c>
      <c r="D146" s="5" t="n"/>
      <c r="E146" s="5" t="n"/>
      <c r="F146" s="5" t="n"/>
      <c r="G146" s="12" t="n"/>
      <c r="H146" s="12" t="n"/>
      <c r="I146" s="12" t="n"/>
      <c r="J146" s="12" t="n"/>
      <c r="K146" s="12" t="n"/>
      <c r="L146" s="12" t="n"/>
      <c r="M146" s="5" t="n"/>
      <c r="N146" s="12" t="n"/>
      <c r="O146" s="12" t="n"/>
      <c r="P146" s="13" t="n"/>
      <c r="Q146" s="13" t="n"/>
      <c r="R146" s="11" t="n"/>
      <c r="S146" s="11" t="n"/>
      <c r="T146" s="11" t="n"/>
      <c r="V146" s="14" t="n"/>
      <c r="W146" s="14" t="n"/>
      <c r="X146" s="14" t="n"/>
    </row>
    <row r="147">
      <c r="A147" s="11" t="n"/>
      <c r="B147">
        <f>IFERROR(INDEX(Universe!$B$3:$B$3002, MATCH($A147, Universe!$A$3:$A$3002, 0)),"")</f>
        <v/>
      </c>
      <c r="C147">
        <f>IFERROR(INDEX(Universe!$D$3:$D$3002, MATCH($A147, Universe!$A$3:$A$3002, 0)),"")</f>
        <v/>
      </c>
      <c r="D147" s="5" t="n"/>
      <c r="E147" s="5" t="n"/>
      <c r="F147" s="5" t="n"/>
      <c r="G147" s="12" t="n"/>
      <c r="H147" s="12" t="n"/>
      <c r="I147" s="12" t="n"/>
      <c r="J147" s="12" t="n"/>
      <c r="K147" s="12" t="n"/>
      <c r="L147" s="12" t="n"/>
      <c r="M147" s="5" t="n"/>
      <c r="N147" s="12" t="n"/>
      <c r="O147" s="12" t="n"/>
      <c r="P147" s="13" t="n"/>
      <c r="Q147" s="13" t="n"/>
      <c r="R147" s="11" t="n"/>
      <c r="S147" s="11" t="n"/>
      <c r="T147" s="11" t="n"/>
      <c r="V147" s="14" t="n"/>
      <c r="W147" s="14" t="n"/>
      <c r="X147" s="14" t="n"/>
    </row>
    <row r="148">
      <c r="A148" s="11" t="n"/>
      <c r="B148">
        <f>IFERROR(INDEX(Universe!$B$3:$B$3002, MATCH($A148, Universe!$A$3:$A$3002, 0)),"")</f>
        <v/>
      </c>
      <c r="C148">
        <f>IFERROR(INDEX(Universe!$D$3:$D$3002, MATCH($A148, Universe!$A$3:$A$3002, 0)),"")</f>
        <v/>
      </c>
      <c r="D148" s="5" t="n"/>
      <c r="E148" s="5" t="n"/>
      <c r="F148" s="5" t="n"/>
      <c r="G148" s="12" t="n"/>
      <c r="H148" s="12" t="n"/>
      <c r="I148" s="12" t="n"/>
      <c r="J148" s="12" t="n"/>
      <c r="K148" s="12" t="n"/>
      <c r="L148" s="12" t="n"/>
      <c r="M148" s="5" t="n"/>
      <c r="N148" s="12" t="n"/>
      <c r="O148" s="12" t="n"/>
      <c r="P148" s="13" t="n"/>
      <c r="Q148" s="13" t="n"/>
      <c r="R148" s="11" t="n"/>
      <c r="S148" s="11" t="n"/>
      <c r="T148" s="11" t="n"/>
      <c r="V148" s="14" t="n"/>
      <c r="W148" s="14" t="n"/>
      <c r="X148" s="14" t="n"/>
    </row>
    <row r="149">
      <c r="A149" s="11" t="n"/>
      <c r="B149">
        <f>IFERROR(INDEX(Universe!$B$3:$B$3002, MATCH($A149, Universe!$A$3:$A$3002, 0)),"")</f>
        <v/>
      </c>
      <c r="C149">
        <f>IFERROR(INDEX(Universe!$D$3:$D$3002, MATCH($A149, Universe!$A$3:$A$3002, 0)),"")</f>
        <v/>
      </c>
      <c r="D149" s="5" t="n"/>
      <c r="E149" s="5" t="n"/>
      <c r="F149" s="5" t="n"/>
      <c r="G149" s="12" t="n"/>
      <c r="H149" s="12" t="n"/>
      <c r="I149" s="12" t="n"/>
      <c r="J149" s="12" t="n"/>
      <c r="K149" s="12" t="n"/>
      <c r="L149" s="12" t="n"/>
      <c r="M149" s="5" t="n"/>
      <c r="N149" s="12" t="n"/>
      <c r="O149" s="12" t="n"/>
      <c r="P149" s="13" t="n"/>
      <c r="Q149" s="13" t="n"/>
      <c r="R149" s="11" t="n"/>
      <c r="S149" s="11" t="n"/>
      <c r="T149" s="11" t="n"/>
      <c r="V149" s="14" t="n"/>
      <c r="W149" s="14" t="n"/>
      <c r="X149" s="14" t="n"/>
    </row>
    <row r="150">
      <c r="A150" s="11" t="n"/>
      <c r="B150">
        <f>IFERROR(INDEX(Universe!$B$3:$B$3002, MATCH($A150, Universe!$A$3:$A$3002, 0)),"")</f>
        <v/>
      </c>
      <c r="C150">
        <f>IFERROR(INDEX(Universe!$D$3:$D$3002, MATCH($A150, Universe!$A$3:$A$3002, 0)),"")</f>
        <v/>
      </c>
      <c r="D150" s="5" t="n"/>
      <c r="E150" s="5" t="n"/>
      <c r="F150" s="5" t="n"/>
      <c r="G150" s="12" t="n"/>
      <c r="H150" s="12" t="n"/>
      <c r="I150" s="12" t="n"/>
      <c r="J150" s="12" t="n"/>
      <c r="K150" s="12" t="n"/>
      <c r="L150" s="12" t="n"/>
      <c r="M150" s="5" t="n"/>
      <c r="N150" s="12" t="n"/>
      <c r="O150" s="12" t="n"/>
      <c r="P150" s="13" t="n"/>
      <c r="Q150" s="13" t="n"/>
      <c r="R150" s="11" t="n"/>
      <c r="S150" s="11" t="n"/>
      <c r="T150" s="11" t="n"/>
      <c r="V150" s="14" t="n"/>
      <c r="W150" s="14" t="n"/>
      <c r="X150" s="14" t="n"/>
    </row>
    <row r="151">
      <c r="A151" s="11" t="n"/>
      <c r="B151">
        <f>IFERROR(INDEX(Universe!$B$3:$B$3002, MATCH($A151, Universe!$A$3:$A$3002, 0)),"")</f>
        <v/>
      </c>
      <c r="C151">
        <f>IFERROR(INDEX(Universe!$D$3:$D$3002, MATCH($A151, Universe!$A$3:$A$3002, 0)),"")</f>
        <v/>
      </c>
      <c r="D151" s="5" t="n"/>
      <c r="E151" s="5" t="n"/>
      <c r="F151" s="5" t="n"/>
      <c r="G151" s="12" t="n"/>
      <c r="H151" s="12" t="n"/>
      <c r="I151" s="12" t="n"/>
      <c r="J151" s="12" t="n"/>
      <c r="K151" s="12" t="n"/>
      <c r="L151" s="12" t="n"/>
      <c r="M151" s="5" t="n"/>
      <c r="N151" s="12" t="n"/>
      <c r="O151" s="12" t="n"/>
      <c r="P151" s="13" t="n"/>
      <c r="Q151" s="13" t="n"/>
      <c r="R151" s="11" t="n"/>
      <c r="S151" s="11" t="n"/>
      <c r="T151" s="11" t="n"/>
      <c r="V151" s="14" t="n"/>
      <c r="W151" s="14" t="n"/>
      <c r="X151" s="14" t="n"/>
    </row>
    <row r="152">
      <c r="A152" s="11" t="n"/>
      <c r="B152">
        <f>IFERROR(INDEX(Universe!$B$3:$B$3002, MATCH($A152, Universe!$A$3:$A$3002, 0)),"")</f>
        <v/>
      </c>
      <c r="C152">
        <f>IFERROR(INDEX(Universe!$D$3:$D$3002, MATCH($A152, Universe!$A$3:$A$3002, 0)),"")</f>
        <v/>
      </c>
      <c r="D152" s="5" t="n"/>
      <c r="E152" s="5" t="n"/>
      <c r="F152" s="5" t="n"/>
      <c r="G152" s="12" t="n"/>
      <c r="H152" s="12" t="n"/>
      <c r="I152" s="12" t="n"/>
      <c r="J152" s="12" t="n"/>
      <c r="K152" s="12" t="n"/>
      <c r="L152" s="12" t="n"/>
      <c r="M152" s="5" t="n"/>
      <c r="N152" s="12" t="n"/>
      <c r="O152" s="12" t="n"/>
      <c r="P152" s="13" t="n"/>
      <c r="Q152" s="13" t="n"/>
      <c r="R152" s="11" t="n"/>
      <c r="S152" s="11" t="n"/>
      <c r="T152" s="11" t="n"/>
      <c r="V152" s="14" t="n"/>
      <c r="W152" s="14" t="n"/>
      <c r="X152" s="14" t="n"/>
    </row>
    <row r="153">
      <c r="A153" s="11" t="n"/>
      <c r="B153">
        <f>IFERROR(INDEX(Universe!$B$3:$B$3002, MATCH($A153, Universe!$A$3:$A$3002, 0)),"")</f>
        <v/>
      </c>
      <c r="C153">
        <f>IFERROR(INDEX(Universe!$D$3:$D$3002, MATCH($A153, Universe!$A$3:$A$3002, 0)),"")</f>
        <v/>
      </c>
      <c r="D153" s="5" t="n"/>
      <c r="E153" s="5" t="n"/>
      <c r="F153" s="5" t="n"/>
      <c r="G153" s="12" t="n"/>
      <c r="H153" s="12" t="n"/>
      <c r="I153" s="12" t="n"/>
      <c r="J153" s="12" t="n"/>
      <c r="K153" s="12" t="n"/>
      <c r="L153" s="12" t="n"/>
      <c r="M153" s="5" t="n"/>
      <c r="N153" s="12" t="n"/>
      <c r="O153" s="12" t="n"/>
      <c r="P153" s="13" t="n"/>
      <c r="Q153" s="13" t="n"/>
      <c r="R153" s="11" t="n"/>
      <c r="S153" s="11" t="n"/>
      <c r="T153" s="11" t="n"/>
      <c r="V153" s="14" t="n"/>
      <c r="W153" s="14" t="n"/>
      <c r="X153" s="14" t="n"/>
    </row>
    <row r="154">
      <c r="A154" s="11" t="n"/>
      <c r="B154">
        <f>IFERROR(INDEX(Universe!$B$3:$B$3002, MATCH($A154, Universe!$A$3:$A$3002, 0)),"")</f>
        <v/>
      </c>
      <c r="C154">
        <f>IFERROR(INDEX(Universe!$D$3:$D$3002, MATCH($A154, Universe!$A$3:$A$3002, 0)),"")</f>
        <v/>
      </c>
      <c r="D154" s="5" t="n"/>
      <c r="E154" s="5" t="n"/>
      <c r="F154" s="5" t="n"/>
      <c r="G154" s="12" t="n"/>
      <c r="H154" s="12" t="n"/>
      <c r="I154" s="12" t="n"/>
      <c r="J154" s="12" t="n"/>
      <c r="K154" s="12" t="n"/>
      <c r="L154" s="12" t="n"/>
      <c r="M154" s="5" t="n"/>
      <c r="N154" s="12" t="n"/>
      <c r="O154" s="12" t="n"/>
      <c r="P154" s="13" t="n"/>
      <c r="Q154" s="13" t="n"/>
      <c r="R154" s="11" t="n"/>
      <c r="S154" s="11" t="n"/>
      <c r="T154" s="11" t="n"/>
      <c r="V154" s="14" t="n"/>
      <c r="W154" s="14" t="n"/>
      <c r="X154" s="14" t="n"/>
    </row>
    <row r="155">
      <c r="A155" s="11" t="n"/>
      <c r="B155">
        <f>IFERROR(INDEX(Universe!$B$3:$B$3002, MATCH($A155, Universe!$A$3:$A$3002, 0)),"")</f>
        <v/>
      </c>
      <c r="C155">
        <f>IFERROR(INDEX(Universe!$D$3:$D$3002, MATCH($A155, Universe!$A$3:$A$3002, 0)),"")</f>
        <v/>
      </c>
      <c r="D155" s="5" t="n"/>
      <c r="E155" s="5" t="n"/>
      <c r="F155" s="5" t="n"/>
      <c r="G155" s="12" t="n"/>
      <c r="H155" s="12" t="n"/>
      <c r="I155" s="12" t="n"/>
      <c r="J155" s="12" t="n"/>
      <c r="K155" s="12" t="n"/>
      <c r="L155" s="12" t="n"/>
      <c r="M155" s="5" t="n"/>
      <c r="N155" s="12" t="n"/>
      <c r="O155" s="12" t="n"/>
      <c r="P155" s="13" t="n"/>
      <c r="Q155" s="13" t="n"/>
      <c r="R155" s="11" t="n"/>
      <c r="S155" s="11" t="n"/>
      <c r="T155" s="11" t="n"/>
      <c r="V155" s="14" t="n"/>
      <c r="W155" s="14" t="n"/>
      <c r="X155" s="14" t="n"/>
    </row>
    <row r="156">
      <c r="A156" s="11" t="n"/>
      <c r="B156">
        <f>IFERROR(INDEX(Universe!$B$3:$B$3002, MATCH($A156, Universe!$A$3:$A$3002, 0)),"")</f>
        <v/>
      </c>
      <c r="C156">
        <f>IFERROR(INDEX(Universe!$D$3:$D$3002, MATCH($A156, Universe!$A$3:$A$3002, 0)),"")</f>
        <v/>
      </c>
      <c r="D156" s="5" t="n"/>
      <c r="E156" s="5" t="n"/>
      <c r="F156" s="5" t="n"/>
      <c r="G156" s="12" t="n"/>
      <c r="H156" s="12" t="n"/>
      <c r="I156" s="12" t="n"/>
      <c r="J156" s="12" t="n"/>
      <c r="K156" s="12" t="n"/>
      <c r="L156" s="12" t="n"/>
      <c r="M156" s="5" t="n"/>
      <c r="N156" s="12" t="n"/>
      <c r="O156" s="12" t="n"/>
      <c r="P156" s="13" t="n"/>
      <c r="Q156" s="13" t="n"/>
      <c r="R156" s="11" t="n"/>
      <c r="S156" s="11" t="n"/>
      <c r="T156" s="11" t="n"/>
      <c r="V156" s="14" t="n"/>
      <c r="W156" s="14" t="n"/>
      <c r="X156" s="14" t="n"/>
    </row>
    <row r="157">
      <c r="A157" s="11" t="n"/>
      <c r="B157">
        <f>IFERROR(INDEX(Universe!$B$3:$B$3002, MATCH($A157, Universe!$A$3:$A$3002, 0)),"")</f>
        <v/>
      </c>
      <c r="C157">
        <f>IFERROR(INDEX(Universe!$D$3:$D$3002, MATCH($A157, Universe!$A$3:$A$3002, 0)),"")</f>
        <v/>
      </c>
      <c r="D157" s="5" t="n"/>
      <c r="E157" s="5" t="n"/>
      <c r="F157" s="5" t="n"/>
      <c r="G157" s="12" t="n"/>
      <c r="H157" s="12" t="n"/>
      <c r="I157" s="12" t="n"/>
      <c r="J157" s="12" t="n"/>
      <c r="K157" s="12" t="n"/>
      <c r="L157" s="12" t="n"/>
      <c r="M157" s="5" t="n"/>
      <c r="N157" s="12" t="n"/>
      <c r="O157" s="12" t="n"/>
      <c r="P157" s="13" t="n"/>
      <c r="Q157" s="13" t="n"/>
      <c r="R157" s="11" t="n"/>
      <c r="S157" s="11" t="n"/>
      <c r="T157" s="11" t="n"/>
      <c r="V157" s="14" t="n"/>
      <c r="W157" s="14" t="n"/>
      <c r="X157" s="14" t="n"/>
    </row>
    <row r="158">
      <c r="A158" s="11" t="n"/>
      <c r="B158">
        <f>IFERROR(INDEX(Universe!$B$3:$B$3002, MATCH($A158, Universe!$A$3:$A$3002, 0)),"")</f>
        <v/>
      </c>
      <c r="C158">
        <f>IFERROR(INDEX(Universe!$D$3:$D$3002, MATCH($A158, Universe!$A$3:$A$3002, 0)),"")</f>
        <v/>
      </c>
      <c r="D158" s="5" t="n"/>
      <c r="E158" s="5" t="n"/>
      <c r="F158" s="5" t="n"/>
      <c r="G158" s="12" t="n"/>
      <c r="H158" s="12" t="n"/>
      <c r="I158" s="12" t="n"/>
      <c r="J158" s="12" t="n"/>
      <c r="K158" s="12" t="n"/>
      <c r="L158" s="12" t="n"/>
      <c r="M158" s="5" t="n"/>
      <c r="N158" s="12" t="n"/>
      <c r="O158" s="12" t="n"/>
      <c r="P158" s="13" t="n"/>
      <c r="Q158" s="13" t="n"/>
      <c r="R158" s="11" t="n"/>
      <c r="S158" s="11" t="n"/>
      <c r="T158" s="11" t="n"/>
      <c r="V158" s="14" t="n"/>
      <c r="W158" s="14" t="n"/>
      <c r="X158" s="14" t="n"/>
    </row>
    <row r="159">
      <c r="A159" s="11" t="n"/>
      <c r="B159">
        <f>IFERROR(INDEX(Universe!$B$3:$B$3002, MATCH($A159, Universe!$A$3:$A$3002, 0)),"")</f>
        <v/>
      </c>
      <c r="C159">
        <f>IFERROR(INDEX(Universe!$D$3:$D$3002, MATCH($A159, Universe!$A$3:$A$3002, 0)),"")</f>
        <v/>
      </c>
      <c r="D159" s="5" t="n"/>
      <c r="E159" s="5" t="n"/>
      <c r="F159" s="5" t="n"/>
      <c r="G159" s="12" t="n"/>
      <c r="H159" s="12" t="n"/>
      <c r="I159" s="12" t="n"/>
      <c r="J159" s="12" t="n"/>
      <c r="K159" s="12" t="n"/>
      <c r="L159" s="12" t="n"/>
      <c r="M159" s="5" t="n"/>
      <c r="N159" s="12" t="n"/>
      <c r="O159" s="12" t="n"/>
      <c r="P159" s="13" t="n"/>
      <c r="Q159" s="13" t="n"/>
      <c r="R159" s="11" t="n"/>
      <c r="S159" s="11" t="n"/>
      <c r="T159" s="11" t="n"/>
      <c r="V159" s="14" t="n"/>
      <c r="W159" s="14" t="n"/>
      <c r="X159" s="14" t="n"/>
    </row>
    <row r="160">
      <c r="A160" s="11" t="n"/>
      <c r="B160">
        <f>IFERROR(INDEX(Universe!$B$3:$B$3002, MATCH($A160, Universe!$A$3:$A$3002, 0)),"")</f>
        <v/>
      </c>
      <c r="C160">
        <f>IFERROR(INDEX(Universe!$D$3:$D$3002, MATCH($A160, Universe!$A$3:$A$3002, 0)),"")</f>
        <v/>
      </c>
      <c r="D160" s="5" t="n"/>
      <c r="E160" s="5" t="n"/>
      <c r="F160" s="5" t="n"/>
      <c r="G160" s="12" t="n"/>
      <c r="H160" s="12" t="n"/>
      <c r="I160" s="12" t="n"/>
      <c r="J160" s="12" t="n"/>
      <c r="K160" s="12" t="n"/>
      <c r="L160" s="12" t="n"/>
      <c r="M160" s="5" t="n"/>
      <c r="N160" s="12" t="n"/>
      <c r="O160" s="12" t="n"/>
      <c r="P160" s="13" t="n"/>
      <c r="Q160" s="13" t="n"/>
      <c r="R160" s="11" t="n"/>
      <c r="S160" s="11" t="n"/>
      <c r="T160" s="11" t="n"/>
      <c r="V160" s="14" t="n"/>
      <c r="W160" s="14" t="n"/>
      <c r="X160" s="14" t="n"/>
    </row>
    <row r="161">
      <c r="A161" s="11" t="n"/>
      <c r="B161">
        <f>IFERROR(INDEX(Universe!$B$3:$B$3002, MATCH($A161, Universe!$A$3:$A$3002, 0)),"")</f>
        <v/>
      </c>
      <c r="C161">
        <f>IFERROR(INDEX(Universe!$D$3:$D$3002, MATCH($A161, Universe!$A$3:$A$3002, 0)),"")</f>
        <v/>
      </c>
      <c r="D161" s="5" t="n"/>
      <c r="E161" s="5" t="n"/>
      <c r="F161" s="5" t="n"/>
      <c r="G161" s="12" t="n"/>
      <c r="H161" s="12" t="n"/>
      <c r="I161" s="12" t="n"/>
      <c r="J161" s="12" t="n"/>
      <c r="K161" s="12" t="n"/>
      <c r="L161" s="12" t="n"/>
      <c r="M161" s="5" t="n"/>
      <c r="N161" s="12" t="n"/>
      <c r="O161" s="12" t="n"/>
      <c r="P161" s="13" t="n"/>
      <c r="Q161" s="13" t="n"/>
      <c r="R161" s="11" t="n"/>
      <c r="S161" s="11" t="n"/>
      <c r="T161" s="11" t="n"/>
      <c r="V161" s="14" t="n"/>
      <c r="W161" s="14" t="n"/>
      <c r="X161" s="14" t="n"/>
    </row>
    <row r="162">
      <c r="A162" s="11" t="n"/>
      <c r="B162">
        <f>IFERROR(INDEX(Universe!$B$3:$B$3002, MATCH($A162, Universe!$A$3:$A$3002, 0)),"")</f>
        <v/>
      </c>
      <c r="C162">
        <f>IFERROR(INDEX(Universe!$D$3:$D$3002, MATCH($A162, Universe!$A$3:$A$3002, 0)),"")</f>
        <v/>
      </c>
      <c r="D162" s="5" t="n"/>
      <c r="E162" s="5" t="n"/>
      <c r="F162" s="5" t="n"/>
      <c r="G162" s="12" t="n"/>
      <c r="H162" s="12" t="n"/>
      <c r="I162" s="12" t="n"/>
      <c r="J162" s="12" t="n"/>
      <c r="K162" s="12" t="n"/>
      <c r="L162" s="12" t="n"/>
      <c r="M162" s="5" t="n"/>
      <c r="N162" s="12" t="n"/>
      <c r="O162" s="12" t="n"/>
      <c r="P162" s="13" t="n"/>
      <c r="Q162" s="13" t="n"/>
      <c r="R162" s="11" t="n"/>
      <c r="S162" s="11" t="n"/>
      <c r="T162" s="11" t="n"/>
      <c r="V162" s="14" t="n"/>
      <c r="W162" s="14" t="n"/>
      <c r="X162" s="14" t="n"/>
    </row>
    <row r="163">
      <c r="A163" s="11" t="n"/>
      <c r="B163">
        <f>IFERROR(INDEX(Universe!$B$3:$B$3002, MATCH($A163, Universe!$A$3:$A$3002, 0)),"")</f>
        <v/>
      </c>
      <c r="C163">
        <f>IFERROR(INDEX(Universe!$D$3:$D$3002, MATCH($A163, Universe!$A$3:$A$3002, 0)),"")</f>
        <v/>
      </c>
      <c r="D163" s="5" t="n"/>
      <c r="E163" s="5" t="n"/>
      <c r="F163" s="5" t="n"/>
      <c r="G163" s="12" t="n"/>
      <c r="H163" s="12" t="n"/>
      <c r="I163" s="12" t="n"/>
      <c r="J163" s="12" t="n"/>
      <c r="K163" s="12" t="n"/>
      <c r="L163" s="12" t="n"/>
      <c r="M163" s="5" t="n"/>
      <c r="N163" s="12" t="n"/>
      <c r="O163" s="12" t="n"/>
      <c r="P163" s="13" t="n"/>
      <c r="Q163" s="13" t="n"/>
      <c r="R163" s="11" t="n"/>
      <c r="S163" s="11" t="n"/>
      <c r="T163" s="11" t="n"/>
      <c r="V163" s="14" t="n"/>
      <c r="W163" s="14" t="n"/>
      <c r="X163" s="14" t="n"/>
    </row>
    <row r="164">
      <c r="A164" s="11" t="n"/>
      <c r="B164">
        <f>IFERROR(INDEX(Universe!$B$3:$B$3002, MATCH($A164, Universe!$A$3:$A$3002, 0)),"")</f>
        <v/>
      </c>
      <c r="C164">
        <f>IFERROR(INDEX(Universe!$D$3:$D$3002, MATCH($A164, Universe!$A$3:$A$3002, 0)),"")</f>
        <v/>
      </c>
      <c r="D164" s="5" t="n"/>
      <c r="E164" s="5" t="n"/>
      <c r="F164" s="5" t="n"/>
      <c r="G164" s="12" t="n"/>
      <c r="H164" s="12" t="n"/>
      <c r="I164" s="12" t="n"/>
      <c r="J164" s="12" t="n"/>
      <c r="K164" s="12" t="n"/>
      <c r="L164" s="12" t="n"/>
      <c r="M164" s="5" t="n"/>
      <c r="N164" s="12" t="n"/>
      <c r="O164" s="12" t="n"/>
      <c r="P164" s="13" t="n"/>
      <c r="Q164" s="13" t="n"/>
      <c r="R164" s="11" t="n"/>
      <c r="S164" s="11" t="n"/>
      <c r="T164" s="11" t="n"/>
      <c r="V164" s="14" t="n"/>
      <c r="W164" s="14" t="n"/>
      <c r="X164" s="14" t="n"/>
    </row>
    <row r="165">
      <c r="A165" s="11" t="n"/>
      <c r="B165">
        <f>IFERROR(INDEX(Universe!$B$3:$B$3002, MATCH($A165, Universe!$A$3:$A$3002, 0)),"")</f>
        <v/>
      </c>
      <c r="C165">
        <f>IFERROR(INDEX(Universe!$D$3:$D$3002, MATCH($A165, Universe!$A$3:$A$3002, 0)),"")</f>
        <v/>
      </c>
      <c r="D165" s="5" t="n"/>
      <c r="E165" s="5" t="n"/>
      <c r="F165" s="5" t="n"/>
      <c r="G165" s="12" t="n"/>
      <c r="H165" s="12" t="n"/>
      <c r="I165" s="12" t="n"/>
      <c r="J165" s="12" t="n"/>
      <c r="K165" s="12" t="n"/>
      <c r="L165" s="12" t="n"/>
      <c r="M165" s="5" t="n"/>
      <c r="N165" s="12" t="n"/>
      <c r="O165" s="12" t="n"/>
      <c r="P165" s="13" t="n"/>
      <c r="Q165" s="13" t="n"/>
      <c r="R165" s="11" t="n"/>
      <c r="S165" s="11" t="n"/>
      <c r="T165" s="11" t="n"/>
      <c r="V165" s="14" t="n"/>
      <c r="W165" s="14" t="n"/>
      <c r="X165" s="14" t="n"/>
    </row>
    <row r="166">
      <c r="A166" s="11" t="n"/>
      <c r="B166">
        <f>IFERROR(INDEX(Universe!$B$3:$B$3002, MATCH($A166, Universe!$A$3:$A$3002, 0)),"")</f>
        <v/>
      </c>
      <c r="C166">
        <f>IFERROR(INDEX(Universe!$D$3:$D$3002, MATCH($A166, Universe!$A$3:$A$3002, 0)),"")</f>
        <v/>
      </c>
      <c r="D166" s="5" t="n"/>
      <c r="E166" s="5" t="n"/>
      <c r="F166" s="5" t="n"/>
      <c r="G166" s="12" t="n"/>
      <c r="H166" s="12" t="n"/>
      <c r="I166" s="12" t="n"/>
      <c r="J166" s="12" t="n"/>
      <c r="K166" s="12" t="n"/>
      <c r="L166" s="12" t="n"/>
      <c r="M166" s="5" t="n"/>
      <c r="N166" s="12" t="n"/>
      <c r="O166" s="12" t="n"/>
      <c r="P166" s="13" t="n"/>
      <c r="Q166" s="13" t="n"/>
      <c r="R166" s="11" t="n"/>
      <c r="S166" s="11" t="n"/>
      <c r="T166" s="11" t="n"/>
      <c r="V166" s="14" t="n"/>
      <c r="W166" s="14" t="n"/>
      <c r="X166" s="14" t="n"/>
    </row>
    <row r="167">
      <c r="A167" s="11" t="n"/>
      <c r="B167">
        <f>IFERROR(INDEX(Universe!$B$3:$B$3002, MATCH($A167, Universe!$A$3:$A$3002, 0)),"")</f>
        <v/>
      </c>
      <c r="C167">
        <f>IFERROR(INDEX(Universe!$D$3:$D$3002, MATCH($A167, Universe!$A$3:$A$3002, 0)),"")</f>
        <v/>
      </c>
      <c r="D167" s="5" t="n"/>
      <c r="E167" s="5" t="n"/>
      <c r="F167" s="5" t="n"/>
      <c r="G167" s="12" t="n"/>
      <c r="H167" s="12" t="n"/>
      <c r="I167" s="12" t="n"/>
      <c r="J167" s="12" t="n"/>
      <c r="K167" s="12" t="n"/>
      <c r="L167" s="12" t="n"/>
      <c r="M167" s="5" t="n"/>
      <c r="N167" s="12" t="n"/>
      <c r="O167" s="12" t="n"/>
      <c r="P167" s="13" t="n"/>
      <c r="Q167" s="13" t="n"/>
      <c r="R167" s="11" t="n"/>
      <c r="S167" s="11" t="n"/>
      <c r="T167" s="11" t="n"/>
      <c r="V167" s="14" t="n"/>
      <c r="W167" s="14" t="n"/>
      <c r="X167" s="14" t="n"/>
    </row>
    <row r="168">
      <c r="A168" s="11" t="n"/>
      <c r="B168">
        <f>IFERROR(INDEX(Universe!$B$3:$B$3002, MATCH($A168, Universe!$A$3:$A$3002, 0)),"")</f>
        <v/>
      </c>
      <c r="C168">
        <f>IFERROR(INDEX(Universe!$D$3:$D$3002, MATCH($A168, Universe!$A$3:$A$3002, 0)),"")</f>
        <v/>
      </c>
      <c r="D168" s="5" t="n"/>
      <c r="E168" s="5" t="n"/>
      <c r="F168" s="5" t="n"/>
      <c r="G168" s="12" t="n"/>
      <c r="H168" s="12" t="n"/>
      <c r="I168" s="12" t="n"/>
      <c r="J168" s="12" t="n"/>
      <c r="K168" s="12" t="n"/>
      <c r="L168" s="12" t="n"/>
      <c r="M168" s="5" t="n"/>
      <c r="N168" s="12" t="n"/>
      <c r="O168" s="12" t="n"/>
      <c r="P168" s="13" t="n"/>
      <c r="Q168" s="13" t="n"/>
      <c r="R168" s="11" t="n"/>
      <c r="S168" s="11" t="n"/>
      <c r="T168" s="11" t="n"/>
      <c r="V168" s="14" t="n"/>
      <c r="W168" s="14" t="n"/>
      <c r="X168" s="14" t="n"/>
    </row>
    <row r="169">
      <c r="A169" s="11" t="n"/>
      <c r="B169">
        <f>IFERROR(INDEX(Universe!$B$3:$B$3002, MATCH($A169, Universe!$A$3:$A$3002, 0)),"")</f>
        <v/>
      </c>
      <c r="C169">
        <f>IFERROR(INDEX(Universe!$D$3:$D$3002, MATCH($A169, Universe!$A$3:$A$3002, 0)),"")</f>
        <v/>
      </c>
      <c r="D169" s="5" t="n"/>
      <c r="E169" s="5" t="n"/>
      <c r="F169" s="5" t="n"/>
      <c r="G169" s="12" t="n"/>
      <c r="H169" s="12" t="n"/>
      <c r="I169" s="12" t="n"/>
      <c r="J169" s="12" t="n"/>
      <c r="K169" s="12" t="n"/>
      <c r="L169" s="12" t="n"/>
      <c r="M169" s="5" t="n"/>
      <c r="N169" s="12" t="n"/>
      <c r="O169" s="12" t="n"/>
      <c r="P169" s="13" t="n"/>
      <c r="Q169" s="13" t="n"/>
      <c r="R169" s="11" t="n"/>
      <c r="S169" s="11" t="n"/>
      <c r="T169" s="11" t="n"/>
      <c r="V169" s="14" t="n"/>
      <c r="W169" s="14" t="n"/>
      <c r="X169" s="14" t="n"/>
    </row>
    <row r="170">
      <c r="A170" s="11" t="n"/>
      <c r="B170">
        <f>IFERROR(INDEX(Universe!$B$3:$B$3002, MATCH($A170, Universe!$A$3:$A$3002, 0)),"")</f>
        <v/>
      </c>
      <c r="C170">
        <f>IFERROR(INDEX(Universe!$D$3:$D$3002, MATCH($A170, Universe!$A$3:$A$3002, 0)),"")</f>
        <v/>
      </c>
      <c r="D170" s="5" t="n"/>
      <c r="E170" s="5" t="n"/>
      <c r="F170" s="5" t="n"/>
      <c r="G170" s="12" t="n"/>
      <c r="H170" s="12" t="n"/>
      <c r="I170" s="12" t="n"/>
      <c r="J170" s="12" t="n"/>
      <c r="K170" s="12" t="n"/>
      <c r="L170" s="12" t="n"/>
      <c r="M170" s="5" t="n"/>
      <c r="N170" s="12" t="n"/>
      <c r="O170" s="12" t="n"/>
      <c r="P170" s="13" t="n"/>
      <c r="Q170" s="13" t="n"/>
      <c r="R170" s="11" t="n"/>
      <c r="S170" s="11" t="n"/>
      <c r="T170" s="11" t="n"/>
      <c r="V170" s="14" t="n"/>
      <c r="W170" s="14" t="n"/>
      <c r="X170" s="14" t="n"/>
    </row>
    <row r="171">
      <c r="A171" s="11" t="n"/>
      <c r="B171">
        <f>IFERROR(INDEX(Universe!$B$3:$B$3002, MATCH($A171, Universe!$A$3:$A$3002, 0)),"")</f>
        <v/>
      </c>
      <c r="C171">
        <f>IFERROR(INDEX(Universe!$D$3:$D$3002, MATCH($A171, Universe!$A$3:$A$3002, 0)),"")</f>
        <v/>
      </c>
      <c r="D171" s="5" t="n"/>
      <c r="E171" s="5" t="n"/>
      <c r="F171" s="5" t="n"/>
      <c r="G171" s="12" t="n"/>
      <c r="H171" s="12" t="n"/>
      <c r="I171" s="12" t="n"/>
      <c r="J171" s="12" t="n"/>
      <c r="K171" s="12" t="n"/>
      <c r="L171" s="12" t="n"/>
      <c r="M171" s="5" t="n"/>
      <c r="N171" s="12" t="n"/>
      <c r="O171" s="12" t="n"/>
      <c r="P171" s="13" t="n"/>
      <c r="Q171" s="13" t="n"/>
      <c r="R171" s="11" t="n"/>
      <c r="S171" s="11" t="n"/>
      <c r="T171" s="11" t="n"/>
      <c r="V171" s="14" t="n"/>
      <c r="W171" s="14" t="n"/>
      <c r="X171" s="14" t="n"/>
    </row>
    <row r="172">
      <c r="A172" s="11" t="n"/>
      <c r="B172">
        <f>IFERROR(INDEX(Universe!$B$3:$B$3002, MATCH($A172, Universe!$A$3:$A$3002, 0)),"")</f>
        <v/>
      </c>
      <c r="C172">
        <f>IFERROR(INDEX(Universe!$D$3:$D$3002, MATCH($A172, Universe!$A$3:$A$3002, 0)),"")</f>
        <v/>
      </c>
      <c r="D172" s="5" t="n"/>
      <c r="E172" s="5" t="n"/>
      <c r="F172" s="5" t="n"/>
      <c r="G172" s="12" t="n"/>
      <c r="H172" s="12" t="n"/>
      <c r="I172" s="12" t="n"/>
      <c r="J172" s="12" t="n"/>
      <c r="K172" s="12" t="n"/>
      <c r="L172" s="12" t="n"/>
      <c r="M172" s="5" t="n"/>
      <c r="N172" s="12" t="n"/>
      <c r="O172" s="12" t="n"/>
      <c r="P172" s="13" t="n"/>
      <c r="Q172" s="13" t="n"/>
      <c r="R172" s="11" t="n"/>
      <c r="S172" s="11" t="n"/>
      <c r="T172" s="11" t="n"/>
      <c r="V172" s="14" t="n"/>
      <c r="W172" s="14" t="n"/>
      <c r="X172" s="14" t="n"/>
    </row>
    <row r="173">
      <c r="A173" s="11" t="n"/>
      <c r="B173">
        <f>IFERROR(INDEX(Universe!$B$3:$B$3002, MATCH($A173, Universe!$A$3:$A$3002, 0)),"")</f>
        <v/>
      </c>
      <c r="C173">
        <f>IFERROR(INDEX(Universe!$D$3:$D$3002, MATCH($A173, Universe!$A$3:$A$3002, 0)),"")</f>
        <v/>
      </c>
      <c r="D173" s="5" t="n"/>
      <c r="E173" s="5" t="n"/>
      <c r="F173" s="5" t="n"/>
      <c r="G173" s="12" t="n"/>
      <c r="H173" s="12" t="n"/>
      <c r="I173" s="12" t="n"/>
      <c r="J173" s="12" t="n"/>
      <c r="K173" s="12" t="n"/>
      <c r="L173" s="12" t="n"/>
      <c r="M173" s="5" t="n"/>
      <c r="N173" s="12" t="n"/>
      <c r="O173" s="12" t="n"/>
      <c r="P173" s="13" t="n"/>
      <c r="Q173" s="13" t="n"/>
      <c r="R173" s="11" t="n"/>
      <c r="S173" s="11" t="n"/>
      <c r="T173" s="11" t="n"/>
      <c r="V173" s="14" t="n"/>
      <c r="W173" s="14" t="n"/>
      <c r="X173" s="14" t="n"/>
    </row>
    <row r="174">
      <c r="A174" s="11" t="n"/>
      <c r="B174">
        <f>IFERROR(INDEX(Universe!$B$3:$B$3002, MATCH($A174, Universe!$A$3:$A$3002, 0)),"")</f>
        <v/>
      </c>
      <c r="C174">
        <f>IFERROR(INDEX(Universe!$D$3:$D$3002, MATCH($A174, Universe!$A$3:$A$3002, 0)),"")</f>
        <v/>
      </c>
      <c r="D174" s="5" t="n"/>
      <c r="E174" s="5" t="n"/>
      <c r="F174" s="5" t="n"/>
      <c r="G174" s="12" t="n"/>
      <c r="H174" s="12" t="n"/>
      <c r="I174" s="12" t="n"/>
      <c r="J174" s="12" t="n"/>
      <c r="K174" s="12" t="n"/>
      <c r="L174" s="12" t="n"/>
      <c r="M174" s="5" t="n"/>
      <c r="N174" s="12" t="n"/>
      <c r="O174" s="12" t="n"/>
      <c r="P174" s="13" t="n"/>
      <c r="Q174" s="13" t="n"/>
      <c r="R174" s="11" t="n"/>
      <c r="S174" s="11" t="n"/>
      <c r="T174" s="11" t="n"/>
      <c r="V174" s="14" t="n"/>
      <c r="W174" s="14" t="n"/>
      <c r="X174" s="14" t="n"/>
    </row>
    <row r="175">
      <c r="A175" s="11" t="n"/>
      <c r="B175">
        <f>IFERROR(INDEX(Universe!$B$3:$B$3002, MATCH($A175, Universe!$A$3:$A$3002, 0)),"")</f>
        <v/>
      </c>
      <c r="C175">
        <f>IFERROR(INDEX(Universe!$D$3:$D$3002, MATCH($A175, Universe!$A$3:$A$3002, 0)),"")</f>
        <v/>
      </c>
      <c r="D175" s="5" t="n"/>
      <c r="E175" s="5" t="n"/>
      <c r="F175" s="5" t="n"/>
      <c r="G175" s="12" t="n"/>
      <c r="H175" s="12" t="n"/>
      <c r="I175" s="12" t="n"/>
      <c r="J175" s="12" t="n"/>
      <c r="K175" s="12" t="n"/>
      <c r="L175" s="12" t="n"/>
      <c r="M175" s="5" t="n"/>
      <c r="N175" s="12" t="n"/>
      <c r="O175" s="12" t="n"/>
      <c r="P175" s="13" t="n"/>
      <c r="Q175" s="13" t="n"/>
      <c r="R175" s="11" t="n"/>
      <c r="S175" s="11" t="n"/>
      <c r="T175" s="11" t="n"/>
      <c r="V175" s="14" t="n"/>
      <c r="W175" s="14" t="n"/>
      <c r="X175" s="14" t="n"/>
    </row>
    <row r="176">
      <c r="A176" s="11" t="n"/>
      <c r="B176">
        <f>IFERROR(INDEX(Universe!$B$3:$B$3002, MATCH($A176, Universe!$A$3:$A$3002, 0)),"")</f>
        <v/>
      </c>
      <c r="C176">
        <f>IFERROR(INDEX(Universe!$D$3:$D$3002, MATCH($A176, Universe!$A$3:$A$3002, 0)),"")</f>
        <v/>
      </c>
      <c r="D176" s="5" t="n"/>
      <c r="E176" s="5" t="n"/>
      <c r="F176" s="5" t="n"/>
      <c r="G176" s="12" t="n"/>
      <c r="H176" s="12" t="n"/>
      <c r="I176" s="12" t="n"/>
      <c r="J176" s="12" t="n"/>
      <c r="K176" s="12" t="n"/>
      <c r="L176" s="12" t="n"/>
      <c r="M176" s="5" t="n"/>
      <c r="N176" s="12" t="n"/>
      <c r="O176" s="12" t="n"/>
      <c r="P176" s="13" t="n"/>
      <c r="Q176" s="13" t="n"/>
      <c r="R176" s="11" t="n"/>
      <c r="S176" s="11" t="n"/>
      <c r="T176" s="11" t="n"/>
      <c r="V176" s="14" t="n"/>
      <c r="W176" s="14" t="n"/>
      <c r="X176" s="14" t="n"/>
    </row>
    <row r="177">
      <c r="A177" s="11" t="n"/>
      <c r="B177">
        <f>IFERROR(INDEX(Universe!$B$3:$B$3002, MATCH($A177, Universe!$A$3:$A$3002, 0)),"")</f>
        <v/>
      </c>
      <c r="C177">
        <f>IFERROR(INDEX(Universe!$D$3:$D$3002, MATCH($A177, Universe!$A$3:$A$3002, 0)),"")</f>
        <v/>
      </c>
      <c r="D177" s="5" t="n"/>
      <c r="E177" s="5" t="n"/>
      <c r="F177" s="5" t="n"/>
      <c r="G177" s="12" t="n"/>
      <c r="H177" s="12" t="n"/>
      <c r="I177" s="12" t="n"/>
      <c r="J177" s="12" t="n"/>
      <c r="K177" s="12" t="n"/>
      <c r="L177" s="12" t="n"/>
      <c r="M177" s="5" t="n"/>
      <c r="N177" s="12" t="n"/>
      <c r="O177" s="12" t="n"/>
      <c r="P177" s="13" t="n"/>
      <c r="Q177" s="13" t="n"/>
      <c r="R177" s="11" t="n"/>
      <c r="S177" s="11" t="n"/>
      <c r="T177" s="11" t="n"/>
      <c r="V177" s="14" t="n"/>
      <c r="W177" s="14" t="n"/>
      <c r="X177" s="14" t="n"/>
    </row>
    <row r="178">
      <c r="A178" s="11" t="n"/>
      <c r="B178">
        <f>IFERROR(INDEX(Universe!$B$3:$B$3002, MATCH($A178, Universe!$A$3:$A$3002, 0)),"")</f>
        <v/>
      </c>
      <c r="C178">
        <f>IFERROR(INDEX(Universe!$D$3:$D$3002, MATCH($A178, Universe!$A$3:$A$3002, 0)),"")</f>
        <v/>
      </c>
      <c r="D178" s="5" t="n"/>
      <c r="E178" s="5" t="n"/>
      <c r="F178" s="5" t="n"/>
      <c r="G178" s="12" t="n"/>
      <c r="H178" s="12" t="n"/>
      <c r="I178" s="12" t="n"/>
      <c r="J178" s="12" t="n"/>
      <c r="K178" s="12" t="n"/>
      <c r="L178" s="12" t="n"/>
      <c r="M178" s="5" t="n"/>
      <c r="N178" s="12" t="n"/>
      <c r="O178" s="12" t="n"/>
      <c r="P178" s="13" t="n"/>
      <c r="Q178" s="13" t="n"/>
      <c r="R178" s="11" t="n"/>
      <c r="S178" s="11" t="n"/>
      <c r="T178" s="11" t="n"/>
      <c r="V178" s="14" t="n"/>
      <c r="W178" s="14" t="n"/>
      <c r="X178" s="14" t="n"/>
    </row>
    <row r="179">
      <c r="A179" s="11" t="n"/>
      <c r="B179">
        <f>IFERROR(INDEX(Universe!$B$3:$B$3002, MATCH($A179, Universe!$A$3:$A$3002, 0)),"")</f>
        <v/>
      </c>
      <c r="C179">
        <f>IFERROR(INDEX(Universe!$D$3:$D$3002, MATCH($A179, Universe!$A$3:$A$3002, 0)),"")</f>
        <v/>
      </c>
      <c r="D179" s="5" t="n"/>
      <c r="E179" s="5" t="n"/>
      <c r="F179" s="5" t="n"/>
      <c r="G179" s="12" t="n"/>
      <c r="H179" s="12" t="n"/>
      <c r="I179" s="12" t="n"/>
      <c r="J179" s="12" t="n"/>
      <c r="K179" s="12" t="n"/>
      <c r="L179" s="12" t="n"/>
      <c r="M179" s="5" t="n"/>
      <c r="N179" s="12" t="n"/>
      <c r="O179" s="12" t="n"/>
      <c r="P179" s="13" t="n"/>
      <c r="Q179" s="13" t="n"/>
      <c r="R179" s="11" t="n"/>
      <c r="S179" s="11" t="n"/>
      <c r="T179" s="11" t="n"/>
      <c r="V179" s="14" t="n"/>
      <c r="W179" s="14" t="n"/>
      <c r="X179" s="14" t="n"/>
    </row>
    <row r="180">
      <c r="A180" s="11" t="n"/>
      <c r="B180">
        <f>IFERROR(INDEX(Universe!$B$3:$B$3002, MATCH($A180, Universe!$A$3:$A$3002, 0)),"")</f>
        <v/>
      </c>
      <c r="C180">
        <f>IFERROR(INDEX(Universe!$D$3:$D$3002, MATCH($A180, Universe!$A$3:$A$3002, 0)),"")</f>
        <v/>
      </c>
      <c r="D180" s="5" t="n"/>
      <c r="E180" s="5" t="n"/>
      <c r="F180" s="5" t="n"/>
      <c r="G180" s="12" t="n"/>
      <c r="H180" s="12" t="n"/>
      <c r="I180" s="12" t="n"/>
      <c r="J180" s="12" t="n"/>
      <c r="K180" s="12" t="n"/>
      <c r="L180" s="12" t="n"/>
      <c r="M180" s="5" t="n"/>
      <c r="N180" s="12" t="n"/>
      <c r="O180" s="12" t="n"/>
      <c r="P180" s="13" t="n"/>
      <c r="Q180" s="13" t="n"/>
      <c r="R180" s="11" t="n"/>
      <c r="S180" s="11" t="n"/>
      <c r="T180" s="11" t="n"/>
      <c r="V180" s="14" t="n"/>
      <c r="W180" s="14" t="n"/>
      <c r="X180" s="14" t="n"/>
    </row>
    <row r="181">
      <c r="A181" s="11" t="n"/>
      <c r="B181">
        <f>IFERROR(INDEX(Universe!$B$3:$B$3002, MATCH($A181, Universe!$A$3:$A$3002, 0)),"")</f>
        <v/>
      </c>
      <c r="C181">
        <f>IFERROR(INDEX(Universe!$D$3:$D$3002, MATCH($A181, Universe!$A$3:$A$3002, 0)),"")</f>
        <v/>
      </c>
      <c r="D181" s="5" t="n"/>
      <c r="E181" s="5" t="n"/>
      <c r="F181" s="5" t="n"/>
      <c r="G181" s="12" t="n"/>
      <c r="H181" s="12" t="n"/>
      <c r="I181" s="12" t="n"/>
      <c r="J181" s="12" t="n"/>
      <c r="K181" s="12" t="n"/>
      <c r="L181" s="12" t="n"/>
      <c r="M181" s="5" t="n"/>
      <c r="N181" s="12" t="n"/>
      <c r="O181" s="12" t="n"/>
      <c r="P181" s="13" t="n"/>
      <c r="Q181" s="13" t="n"/>
      <c r="R181" s="11" t="n"/>
      <c r="S181" s="11" t="n"/>
      <c r="T181" s="11" t="n"/>
      <c r="V181" s="14" t="n"/>
      <c r="W181" s="14" t="n"/>
      <c r="X181" s="14" t="n"/>
    </row>
    <row r="182">
      <c r="A182" s="11" t="n"/>
      <c r="B182">
        <f>IFERROR(INDEX(Universe!$B$3:$B$3002, MATCH($A182, Universe!$A$3:$A$3002, 0)),"")</f>
        <v/>
      </c>
      <c r="C182">
        <f>IFERROR(INDEX(Universe!$D$3:$D$3002, MATCH($A182, Universe!$A$3:$A$3002, 0)),"")</f>
        <v/>
      </c>
      <c r="D182" s="5" t="n"/>
      <c r="E182" s="5" t="n"/>
      <c r="F182" s="5" t="n"/>
      <c r="G182" s="12" t="n"/>
      <c r="H182" s="12" t="n"/>
      <c r="I182" s="12" t="n"/>
      <c r="J182" s="12" t="n"/>
      <c r="K182" s="12" t="n"/>
      <c r="L182" s="12" t="n"/>
      <c r="M182" s="5" t="n"/>
      <c r="N182" s="12" t="n"/>
      <c r="O182" s="12" t="n"/>
      <c r="P182" s="13" t="n"/>
      <c r="Q182" s="13" t="n"/>
      <c r="R182" s="11" t="n"/>
      <c r="S182" s="11" t="n"/>
      <c r="T182" s="11" t="n"/>
      <c r="V182" s="14" t="n"/>
      <c r="W182" s="14" t="n"/>
      <c r="X182" s="14" t="n"/>
    </row>
    <row r="183">
      <c r="A183" s="11" t="n"/>
      <c r="B183">
        <f>IFERROR(INDEX(Universe!$B$3:$B$3002, MATCH($A183, Universe!$A$3:$A$3002, 0)),"")</f>
        <v/>
      </c>
      <c r="C183">
        <f>IFERROR(INDEX(Universe!$D$3:$D$3002, MATCH($A183, Universe!$A$3:$A$3002, 0)),"")</f>
        <v/>
      </c>
      <c r="D183" s="5" t="n"/>
      <c r="E183" s="5" t="n"/>
      <c r="F183" s="5" t="n"/>
      <c r="G183" s="12" t="n"/>
      <c r="H183" s="12" t="n"/>
      <c r="I183" s="12" t="n"/>
      <c r="J183" s="12" t="n"/>
      <c r="K183" s="12" t="n"/>
      <c r="L183" s="12" t="n"/>
      <c r="M183" s="5" t="n"/>
      <c r="N183" s="12" t="n"/>
      <c r="O183" s="12" t="n"/>
      <c r="P183" s="13" t="n"/>
      <c r="Q183" s="13" t="n"/>
      <c r="R183" s="11" t="n"/>
      <c r="S183" s="11" t="n"/>
      <c r="T183" s="11" t="n"/>
      <c r="V183" s="14" t="n"/>
      <c r="W183" s="14" t="n"/>
      <c r="X183" s="14" t="n"/>
    </row>
    <row r="184">
      <c r="A184" s="11" t="n"/>
      <c r="B184">
        <f>IFERROR(INDEX(Universe!$B$3:$B$3002, MATCH($A184, Universe!$A$3:$A$3002, 0)),"")</f>
        <v/>
      </c>
      <c r="C184">
        <f>IFERROR(INDEX(Universe!$D$3:$D$3002, MATCH($A184, Universe!$A$3:$A$3002, 0)),"")</f>
        <v/>
      </c>
      <c r="D184" s="5" t="n"/>
      <c r="E184" s="5" t="n"/>
      <c r="F184" s="5" t="n"/>
      <c r="G184" s="12" t="n"/>
      <c r="H184" s="12" t="n"/>
      <c r="I184" s="12" t="n"/>
      <c r="J184" s="12" t="n"/>
      <c r="K184" s="12" t="n"/>
      <c r="L184" s="12" t="n"/>
      <c r="M184" s="5" t="n"/>
      <c r="N184" s="12" t="n"/>
      <c r="O184" s="12" t="n"/>
      <c r="P184" s="13" t="n"/>
      <c r="Q184" s="13" t="n"/>
      <c r="R184" s="11" t="n"/>
      <c r="S184" s="11" t="n"/>
      <c r="T184" s="11" t="n"/>
      <c r="V184" s="14" t="n"/>
      <c r="W184" s="14" t="n"/>
      <c r="X184" s="14" t="n"/>
    </row>
    <row r="185">
      <c r="A185" s="11" t="n"/>
      <c r="B185">
        <f>IFERROR(INDEX(Universe!$B$3:$B$3002, MATCH($A185, Universe!$A$3:$A$3002, 0)),"")</f>
        <v/>
      </c>
      <c r="C185">
        <f>IFERROR(INDEX(Universe!$D$3:$D$3002, MATCH($A185, Universe!$A$3:$A$3002, 0)),"")</f>
        <v/>
      </c>
      <c r="D185" s="5" t="n"/>
      <c r="E185" s="5" t="n"/>
      <c r="F185" s="5" t="n"/>
      <c r="G185" s="12" t="n"/>
      <c r="H185" s="12" t="n"/>
      <c r="I185" s="12" t="n"/>
      <c r="J185" s="12" t="n"/>
      <c r="K185" s="12" t="n"/>
      <c r="L185" s="12" t="n"/>
      <c r="M185" s="5" t="n"/>
      <c r="N185" s="12" t="n"/>
      <c r="O185" s="12" t="n"/>
      <c r="P185" s="13" t="n"/>
      <c r="Q185" s="13" t="n"/>
      <c r="R185" s="11" t="n"/>
      <c r="S185" s="11" t="n"/>
      <c r="T185" s="11" t="n"/>
      <c r="V185" s="14" t="n"/>
      <c r="W185" s="14" t="n"/>
      <c r="X185" s="14" t="n"/>
    </row>
    <row r="186">
      <c r="A186" s="11" t="n"/>
      <c r="B186">
        <f>IFERROR(INDEX(Universe!$B$3:$B$3002, MATCH($A186, Universe!$A$3:$A$3002, 0)),"")</f>
        <v/>
      </c>
      <c r="C186">
        <f>IFERROR(INDEX(Universe!$D$3:$D$3002, MATCH($A186, Universe!$A$3:$A$3002, 0)),"")</f>
        <v/>
      </c>
      <c r="D186" s="5" t="n"/>
      <c r="E186" s="5" t="n"/>
      <c r="F186" s="5" t="n"/>
      <c r="G186" s="12" t="n"/>
      <c r="H186" s="12" t="n"/>
      <c r="I186" s="12" t="n"/>
      <c r="J186" s="12" t="n"/>
      <c r="K186" s="12" t="n"/>
      <c r="L186" s="12" t="n"/>
      <c r="M186" s="5" t="n"/>
      <c r="N186" s="12" t="n"/>
      <c r="O186" s="12" t="n"/>
      <c r="P186" s="13" t="n"/>
      <c r="Q186" s="13" t="n"/>
      <c r="R186" s="11" t="n"/>
      <c r="S186" s="11" t="n"/>
      <c r="T186" s="11" t="n"/>
      <c r="V186" s="14" t="n"/>
      <c r="W186" s="14" t="n"/>
      <c r="X186" s="14" t="n"/>
    </row>
    <row r="187">
      <c r="A187" s="11" t="n"/>
      <c r="B187">
        <f>IFERROR(INDEX(Universe!$B$3:$B$3002, MATCH($A187, Universe!$A$3:$A$3002, 0)),"")</f>
        <v/>
      </c>
      <c r="C187">
        <f>IFERROR(INDEX(Universe!$D$3:$D$3002, MATCH($A187, Universe!$A$3:$A$3002, 0)),"")</f>
        <v/>
      </c>
      <c r="D187" s="5" t="n"/>
      <c r="E187" s="5" t="n"/>
      <c r="F187" s="5" t="n"/>
      <c r="G187" s="12" t="n"/>
      <c r="H187" s="12" t="n"/>
      <c r="I187" s="12" t="n"/>
      <c r="J187" s="12" t="n"/>
      <c r="K187" s="12" t="n"/>
      <c r="L187" s="12" t="n"/>
      <c r="M187" s="5" t="n"/>
      <c r="N187" s="12" t="n"/>
      <c r="O187" s="12" t="n"/>
      <c r="P187" s="13" t="n"/>
      <c r="Q187" s="13" t="n"/>
      <c r="R187" s="11" t="n"/>
      <c r="S187" s="11" t="n"/>
      <c r="T187" s="11" t="n"/>
      <c r="V187" s="14" t="n"/>
      <c r="W187" s="14" t="n"/>
      <c r="X187" s="14" t="n"/>
    </row>
    <row r="188">
      <c r="A188" s="11" t="n"/>
      <c r="B188">
        <f>IFERROR(INDEX(Universe!$B$3:$B$3002, MATCH($A188, Universe!$A$3:$A$3002, 0)),"")</f>
        <v/>
      </c>
      <c r="C188">
        <f>IFERROR(INDEX(Universe!$D$3:$D$3002, MATCH($A188, Universe!$A$3:$A$3002, 0)),"")</f>
        <v/>
      </c>
      <c r="D188" s="5" t="n"/>
      <c r="E188" s="5" t="n"/>
      <c r="F188" s="5" t="n"/>
      <c r="G188" s="12" t="n"/>
      <c r="H188" s="12" t="n"/>
      <c r="I188" s="12" t="n"/>
      <c r="J188" s="12" t="n"/>
      <c r="K188" s="12" t="n"/>
      <c r="L188" s="12" t="n"/>
      <c r="M188" s="5" t="n"/>
      <c r="N188" s="12" t="n"/>
      <c r="O188" s="12" t="n"/>
      <c r="P188" s="13" t="n"/>
      <c r="Q188" s="13" t="n"/>
      <c r="R188" s="11" t="n"/>
      <c r="S188" s="11" t="n"/>
      <c r="T188" s="11" t="n"/>
      <c r="V188" s="14" t="n"/>
      <c r="W188" s="14" t="n"/>
      <c r="X188" s="14" t="n"/>
    </row>
    <row r="189">
      <c r="A189" s="11" t="n"/>
      <c r="B189">
        <f>IFERROR(INDEX(Universe!$B$3:$B$3002, MATCH($A189, Universe!$A$3:$A$3002, 0)),"")</f>
        <v/>
      </c>
      <c r="C189">
        <f>IFERROR(INDEX(Universe!$D$3:$D$3002, MATCH($A189, Universe!$A$3:$A$3002, 0)),"")</f>
        <v/>
      </c>
      <c r="D189" s="5" t="n"/>
      <c r="E189" s="5" t="n"/>
      <c r="F189" s="5" t="n"/>
      <c r="G189" s="12" t="n"/>
      <c r="H189" s="12" t="n"/>
      <c r="I189" s="12" t="n"/>
      <c r="J189" s="12" t="n"/>
      <c r="K189" s="12" t="n"/>
      <c r="L189" s="12" t="n"/>
      <c r="M189" s="5" t="n"/>
      <c r="N189" s="12" t="n"/>
      <c r="O189" s="12" t="n"/>
      <c r="P189" s="13" t="n"/>
      <c r="Q189" s="13" t="n"/>
      <c r="R189" s="11" t="n"/>
      <c r="S189" s="11" t="n"/>
      <c r="T189" s="11" t="n"/>
      <c r="V189" s="14" t="n"/>
      <c r="W189" s="14" t="n"/>
      <c r="X189" s="14" t="n"/>
    </row>
    <row r="190">
      <c r="A190" s="11" t="n"/>
      <c r="B190">
        <f>IFERROR(INDEX(Universe!$B$3:$B$3002, MATCH($A190, Universe!$A$3:$A$3002, 0)),"")</f>
        <v/>
      </c>
      <c r="C190">
        <f>IFERROR(INDEX(Universe!$D$3:$D$3002, MATCH($A190, Universe!$A$3:$A$3002, 0)),"")</f>
        <v/>
      </c>
      <c r="D190" s="5" t="n"/>
      <c r="E190" s="5" t="n"/>
      <c r="F190" s="5" t="n"/>
      <c r="G190" s="12" t="n"/>
      <c r="H190" s="12" t="n"/>
      <c r="I190" s="12" t="n"/>
      <c r="J190" s="12" t="n"/>
      <c r="K190" s="12" t="n"/>
      <c r="L190" s="12" t="n"/>
      <c r="M190" s="5" t="n"/>
      <c r="N190" s="12" t="n"/>
      <c r="O190" s="12" t="n"/>
      <c r="P190" s="13" t="n"/>
      <c r="Q190" s="13" t="n"/>
      <c r="R190" s="11" t="n"/>
      <c r="S190" s="11" t="n"/>
      <c r="T190" s="11" t="n"/>
      <c r="V190" s="14" t="n"/>
      <c r="W190" s="14" t="n"/>
      <c r="X190" s="14" t="n"/>
    </row>
    <row r="191">
      <c r="A191" s="11" t="n"/>
      <c r="B191">
        <f>IFERROR(INDEX(Universe!$B$3:$B$3002, MATCH($A191, Universe!$A$3:$A$3002, 0)),"")</f>
        <v/>
      </c>
      <c r="C191">
        <f>IFERROR(INDEX(Universe!$D$3:$D$3002, MATCH($A191, Universe!$A$3:$A$3002, 0)),"")</f>
        <v/>
      </c>
      <c r="D191" s="5" t="n"/>
      <c r="E191" s="5" t="n"/>
      <c r="F191" s="5" t="n"/>
      <c r="G191" s="12" t="n"/>
      <c r="H191" s="12" t="n"/>
      <c r="I191" s="12" t="n"/>
      <c r="J191" s="12" t="n"/>
      <c r="K191" s="12" t="n"/>
      <c r="L191" s="12" t="n"/>
      <c r="M191" s="5" t="n"/>
      <c r="N191" s="12" t="n"/>
      <c r="O191" s="12" t="n"/>
      <c r="P191" s="13" t="n"/>
      <c r="Q191" s="13" t="n"/>
      <c r="R191" s="11" t="n"/>
      <c r="S191" s="11" t="n"/>
      <c r="T191" s="11" t="n"/>
      <c r="V191" s="14" t="n"/>
      <c r="W191" s="14" t="n"/>
      <c r="X191" s="14" t="n"/>
    </row>
    <row r="192">
      <c r="A192" s="11" t="n"/>
      <c r="B192">
        <f>IFERROR(INDEX(Universe!$B$3:$B$3002, MATCH($A192, Universe!$A$3:$A$3002, 0)),"")</f>
        <v/>
      </c>
      <c r="C192">
        <f>IFERROR(INDEX(Universe!$D$3:$D$3002, MATCH($A192, Universe!$A$3:$A$3002, 0)),"")</f>
        <v/>
      </c>
      <c r="D192" s="5" t="n"/>
      <c r="E192" s="5" t="n"/>
      <c r="F192" s="5" t="n"/>
      <c r="G192" s="12" t="n"/>
      <c r="H192" s="12" t="n"/>
      <c r="I192" s="12" t="n"/>
      <c r="J192" s="12" t="n"/>
      <c r="K192" s="12" t="n"/>
      <c r="L192" s="12" t="n"/>
      <c r="M192" s="5" t="n"/>
      <c r="N192" s="12" t="n"/>
      <c r="O192" s="12" t="n"/>
      <c r="P192" s="13" t="n"/>
      <c r="Q192" s="13" t="n"/>
      <c r="R192" s="11" t="n"/>
      <c r="S192" s="11" t="n"/>
      <c r="T192" s="11" t="n"/>
      <c r="V192" s="14" t="n"/>
      <c r="W192" s="14" t="n"/>
      <c r="X192" s="14" t="n"/>
    </row>
    <row r="193">
      <c r="A193" s="11" t="n"/>
      <c r="B193">
        <f>IFERROR(INDEX(Universe!$B$3:$B$3002, MATCH($A193, Universe!$A$3:$A$3002, 0)),"")</f>
        <v/>
      </c>
      <c r="C193">
        <f>IFERROR(INDEX(Universe!$D$3:$D$3002, MATCH($A193, Universe!$A$3:$A$3002, 0)),"")</f>
        <v/>
      </c>
      <c r="D193" s="5" t="n"/>
      <c r="E193" s="5" t="n"/>
      <c r="F193" s="5" t="n"/>
      <c r="G193" s="12" t="n"/>
      <c r="H193" s="12" t="n"/>
      <c r="I193" s="12" t="n"/>
      <c r="J193" s="12" t="n"/>
      <c r="K193" s="12" t="n"/>
      <c r="L193" s="12" t="n"/>
      <c r="M193" s="5" t="n"/>
      <c r="N193" s="12" t="n"/>
      <c r="O193" s="12" t="n"/>
      <c r="P193" s="13" t="n"/>
      <c r="Q193" s="13" t="n"/>
      <c r="R193" s="11" t="n"/>
      <c r="S193" s="11" t="n"/>
      <c r="T193" s="11" t="n"/>
      <c r="V193" s="14" t="n"/>
      <c r="W193" s="14" t="n"/>
      <c r="X193" s="14" t="n"/>
    </row>
    <row r="194">
      <c r="A194" s="11" t="n"/>
      <c r="B194">
        <f>IFERROR(INDEX(Universe!$B$3:$B$3002, MATCH($A194, Universe!$A$3:$A$3002, 0)),"")</f>
        <v/>
      </c>
      <c r="C194">
        <f>IFERROR(INDEX(Universe!$D$3:$D$3002, MATCH($A194, Universe!$A$3:$A$3002, 0)),"")</f>
        <v/>
      </c>
      <c r="D194" s="5" t="n"/>
      <c r="E194" s="5" t="n"/>
      <c r="F194" s="5" t="n"/>
      <c r="G194" s="12" t="n"/>
      <c r="H194" s="12" t="n"/>
      <c r="I194" s="12" t="n"/>
      <c r="J194" s="12" t="n"/>
      <c r="K194" s="12" t="n"/>
      <c r="L194" s="12" t="n"/>
      <c r="M194" s="5" t="n"/>
      <c r="N194" s="12" t="n"/>
      <c r="O194" s="12" t="n"/>
      <c r="P194" s="13" t="n"/>
      <c r="Q194" s="13" t="n"/>
      <c r="R194" s="11" t="n"/>
      <c r="S194" s="11" t="n"/>
      <c r="T194" s="11" t="n"/>
      <c r="V194" s="14" t="n"/>
      <c r="W194" s="14" t="n"/>
      <c r="X194" s="14" t="n"/>
    </row>
    <row r="195">
      <c r="A195" s="11" t="n"/>
      <c r="B195">
        <f>IFERROR(INDEX(Universe!$B$3:$B$3002, MATCH($A195, Universe!$A$3:$A$3002, 0)),"")</f>
        <v/>
      </c>
      <c r="C195">
        <f>IFERROR(INDEX(Universe!$D$3:$D$3002, MATCH($A195, Universe!$A$3:$A$3002, 0)),"")</f>
        <v/>
      </c>
      <c r="D195" s="5" t="n"/>
      <c r="E195" s="5" t="n"/>
      <c r="F195" s="5" t="n"/>
      <c r="G195" s="12" t="n"/>
      <c r="H195" s="12" t="n"/>
      <c r="I195" s="12" t="n"/>
      <c r="J195" s="12" t="n"/>
      <c r="K195" s="12" t="n"/>
      <c r="L195" s="12" t="n"/>
      <c r="M195" s="5" t="n"/>
      <c r="N195" s="12" t="n"/>
      <c r="O195" s="12" t="n"/>
      <c r="P195" s="13" t="n"/>
      <c r="Q195" s="13" t="n"/>
      <c r="R195" s="11" t="n"/>
      <c r="S195" s="11" t="n"/>
      <c r="T195" s="11" t="n"/>
      <c r="V195" s="14" t="n"/>
      <c r="W195" s="14" t="n"/>
      <c r="X195" s="14" t="n"/>
    </row>
    <row r="196">
      <c r="A196" s="11" t="n"/>
      <c r="B196">
        <f>IFERROR(INDEX(Universe!$B$3:$B$3002, MATCH($A196, Universe!$A$3:$A$3002, 0)),"")</f>
        <v/>
      </c>
      <c r="C196">
        <f>IFERROR(INDEX(Universe!$D$3:$D$3002, MATCH($A196, Universe!$A$3:$A$3002, 0)),"")</f>
        <v/>
      </c>
      <c r="D196" s="5" t="n"/>
      <c r="E196" s="5" t="n"/>
      <c r="F196" s="5" t="n"/>
      <c r="G196" s="12" t="n"/>
      <c r="H196" s="12" t="n"/>
      <c r="I196" s="12" t="n"/>
      <c r="J196" s="12" t="n"/>
      <c r="K196" s="12" t="n"/>
      <c r="L196" s="12" t="n"/>
      <c r="M196" s="5" t="n"/>
      <c r="N196" s="12" t="n"/>
      <c r="O196" s="12" t="n"/>
      <c r="P196" s="13" t="n"/>
      <c r="Q196" s="13" t="n"/>
      <c r="R196" s="11" t="n"/>
      <c r="S196" s="11" t="n"/>
      <c r="T196" s="11" t="n"/>
      <c r="V196" s="14" t="n"/>
      <c r="W196" s="14" t="n"/>
      <c r="X196" s="14" t="n"/>
    </row>
    <row r="197">
      <c r="A197" s="11" t="n"/>
      <c r="B197">
        <f>IFERROR(INDEX(Universe!$B$3:$B$3002, MATCH($A197, Universe!$A$3:$A$3002, 0)),"")</f>
        <v/>
      </c>
      <c r="C197">
        <f>IFERROR(INDEX(Universe!$D$3:$D$3002, MATCH($A197, Universe!$A$3:$A$3002, 0)),"")</f>
        <v/>
      </c>
      <c r="D197" s="5" t="n"/>
      <c r="E197" s="5" t="n"/>
      <c r="F197" s="5" t="n"/>
      <c r="G197" s="12" t="n"/>
      <c r="H197" s="12" t="n"/>
      <c r="I197" s="12" t="n"/>
      <c r="J197" s="12" t="n"/>
      <c r="K197" s="12" t="n"/>
      <c r="L197" s="12" t="n"/>
      <c r="M197" s="5" t="n"/>
      <c r="N197" s="12" t="n"/>
      <c r="O197" s="12" t="n"/>
      <c r="P197" s="13" t="n"/>
      <c r="Q197" s="13" t="n"/>
      <c r="R197" s="11" t="n"/>
      <c r="S197" s="11" t="n"/>
      <c r="T197" s="11" t="n"/>
      <c r="V197" s="14" t="n"/>
      <c r="W197" s="14" t="n"/>
      <c r="X197" s="14" t="n"/>
    </row>
    <row r="198">
      <c r="A198" s="11" t="n"/>
      <c r="B198">
        <f>IFERROR(INDEX(Universe!$B$3:$B$3002, MATCH($A198, Universe!$A$3:$A$3002, 0)),"")</f>
        <v/>
      </c>
      <c r="C198">
        <f>IFERROR(INDEX(Universe!$D$3:$D$3002, MATCH($A198, Universe!$A$3:$A$3002, 0)),"")</f>
        <v/>
      </c>
      <c r="D198" s="5" t="n"/>
      <c r="E198" s="5" t="n"/>
      <c r="F198" s="5" t="n"/>
      <c r="G198" s="12" t="n"/>
      <c r="H198" s="12" t="n"/>
      <c r="I198" s="12" t="n"/>
      <c r="J198" s="12" t="n"/>
      <c r="K198" s="12" t="n"/>
      <c r="L198" s="12" t="n"/>
      <c r="M198" s="5" t="n"/>
      <c r="N198" s="12" t="n"/>
      <c r="O198" s="12" t="n"/>
      <c r="P198" s="13" t="n"/>
      <c r="Q198" s="13" t="n"/>
      <c r="R198" s="11" t="n"/>
      <c r="S198" s="11" t="n"/>
      <c r="T198" s="11" t="n"/>
      <c r="V198" s="14" t="n"/>
      <c r="W198" s="14" t="n"/>
      <c r="X198" s="14" t="n"/>
    </row>
    <row r="199">
      <c r="A199" s="11" t="n"/>
      <c r="B199">
        <f>IFERROR(INDEX(Universe!$B$3:$B$3002, MATCH($A199, Universe!$A$3:$A$3002, 0)),"")</f>
        <v/>
      </c>
      <c r="C199">
        <f>IFERROR(INDEX(Universe!$D$3:$D$3002, MATCH($A199, Universe!$A$3:$A$3002, 0)),"")</f>
        <v/>
      </c>
      <c r="D199" s="5" t="n"/>
      <c r="E199" s="5" t="n"/>
      <c r="F199" s="5" t="n"/>
      <c r="G199" s="12" t="n"/>
      <c r="H199" s="12" t="n"/>
      <c r="I199" s="12" t="n"/>
      <c r="J199" s="12" t="n"/>
      <c r="K199" s="12" t="n"/>
      <c r="L199" s="12" t="n"/>
      <c r="M199" s="5" t="n"/>
      <c r="N199" s="12" t="n"/>
      <c r="O199" s="12" t="n"/>
      <c r="P199" s="13" t="n"/>
      <c r="Q199" s="13" t="n"/>
      <c r="R199" s="11" t="n"/>
      <c r="S199" s="11" t="n"/>
      <c r="T199" s="11" t="n"/>
      <c r="V199" s="14" t="n"/>
      <c r="W199" s="14" t="n"/>
      <c r="X199" s="14" t="n"/>
    </row>
    <row r="200">
      <c r="A200" s="11" t="n"/>
      <c r="B200">
        <f>IFERROR(INDEX(Universe!$B$3:$B$3002, MATCH($A200, Universe!$A$3:$A$3002, 0)),"")</f>
        <v/>
      </c>
      <c r="C200">
        <f>IFERROR(INDEX(Universe!$D$3:$D$3002, MATCH($A200, Universe!$A$3:$A$3002, 0)),"")</f>
        <v/>
      </c>
      <c r="D200" s="5" t="n"/>
      <c r="E200" s="5" t="n"/>
      <c r="F200" s="5" t="n"/>
      <c r="G200" s="12" t="n"/>
      <c r="H200" s="12" t="n"/>
      <c r="I200" s="12" t="n"/>
      <c r="J200" s="12" t="n"/>
      <c r="K200" s="12" t="n"/>
      <c r="L200" s="12" t="n"/>
      <c r="M200" s="5" t="n"/>
      <c r="N200" s="12" t="n"/>
      <c r="O200" s="12" t="n"/>
      <c r="P200" s="13" t="n"/>
      <c r="Q200" s="13" t="n"/>
      <c r="R200" s="11" t="n"/>
      <c r="S200" s="11" t="n"/>
      <c r="T200" s="11" t="n"/>
      <c r="V200" s="14" t="n"/>
      <c r="W200" s="14" t="n"/>
      <c r="X200" s="14" t="n"/>
    </row>
    <row r="201">
      <c r="A201" s="11" t="n"/>
      <c r="B201">
        <f>IFERROR(INDEX(Universe!$B$3:$B$3002, MATCH($A201, Universe!$A$3:$A$3002, 0)),"")</f>
        <v/>
      </c>
      <c r="C201">
        <f>IFERROR(INDEX(Universe!$D$3:$D$3002, MATCH($A201, Universe!$A$3:$A$3002, 0)),"")</f>
        <v/>
      </c>
      <c r="D201" s="5" t="n"/>
      <c r="E201" s="5" t="n"/>
      <c r="F201" s="5" t="n"/>
      <c r="G201" s="12" t="n"/>
      <c r="H201" s="12" t="n"/>
      <c r="I201" s="12" t="n"/>
      <c r="J201" s="12" t="n"/>
      <c r="K201" s="12" t="n"/>
      <c r="L201" s="12" t="n"/>
      <c r="M201" s="5" t="n"/>
      <c r="N201" s="12" t="n"/>
      <c r="O201" s="12" t="n"/>
      <c r="P201" s="13" t="n"/>
      <c r="Q201" s="13" t="n"/>
      <c r="R201" s="11" t="n"/>
      <c r="S201" s="11" t="n"/>
      <c r="T201" s="11" t="n"/>
      <c r="V201" s="14" t="n"/>
      <c r="W201" s="14" t="n"/>
      <c r="X201" s="14" t="n"/>
    </row>
    <row r="202">
      <c r="A202" s="11" t="n"/>
      <c r="B202">
        <f>IFERROR(INDEX(Universe!$B$3:$B$3002, MATCH($A202, Universe!$A$3:$A$3002, 0)),"")</f>
        <v/>
      </c>
      <c r="C202">
        <f>IFERROR(INDEX(Universe!$D$3:$D$3002, MATCH($A202, Universe!$A$3:$A$3002, 0)),"")</f>
        <v/>
      </c>
      <c r="D202" s="5" t="n"/>
      <c r="E202" s="5" t="n"/>
      <c r="F202" s="5" t="n"/>
      <c r="G202" s="12" t="n"/>
      <c r="H202" s="12" t="n"/>
      <c r="I202" s="12" t="n"/>
      <c r="J202" s="12" t="n"/>
      <c r="K202" s="12" t="n"/>
      <c r="L202" s="12" t="n"/>
      <c r="M202" s="5" t="n"/>
      <c r="N202" s="12" t="n"/>
      <c r="O202" s="12" t="n"/>
      <c r="P202" s="13" t="n"/>
      <c r="Q202" s="13" t="n"/>
      <c r="R202" s="11" t="n"/>
      <c r="S202" s="11" t="n"/>
      <c r="T202" s="11" t="n"/>
      <c r="V202" s="14" t="n"/>
      <c r="W202" s="14" t="n"/>
      <c r="X202" s="14" t="n"/>
    </row>
  </sheetData>
  <autoFilter ref="A2:X2"/>
  <mergeCells count="1">
    <mergeCell ref="A1:X1"/>
  </mergeCells>
  <dataValidations count="2">
    <dataValidation sqref="E3:E202" showDropDown="0" showInputMessage="0" showErrorMessage="0" allowBlank="1" type="list">
      <formula1>"FY,1Q,2Q,3Q,4Q,Other"</formula1>
    </dataValidation>
    <dataValidation sqref="R3:T202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16" customWidth="1" min="5" max="5"/>
    <col width="10" customWidth="1" min="6" max="6"/>
    <col width="16" customWidth="1" min="7" max="7"/>
    <col width="16" customWidth="1" min="8" max="8"/>
    <col width="10" customWidth="1" min="9" max="9"/>
    <col width="20" customWidth="1" min="10" max="10"/>
    <col width="12" customWidth="1" min="11" max="11"/>
    <col width="22" customWidth="1" min="12" max="12"/>
    <col width="16" customWidth="1" min="13" max="13"/>
    <col width="24" customWidth="1" min="14" max="14"/>
  </cols>
  <sheetData>
    <row r="1" ht="24" customHeight="1">
      <c r="A1" s="1" t="inlineStr">
        <is>
          <t>Derived Metrics (formulas)</t>
        </is>
      </c>
    </row>
    <row r="2">
      <c r="A2" s="10" t="inlineStr">
        <is>
          <t>Ticker</t>
        </is>
      </c>
      <c r="B2" s="10" t="inlineStr">
        <is>
          <t>Name</t>
        </is>
      </c>
      <c r="C2" s="10" t="inlineStr">
        <is>
          <t>Market Segment</t>
        </is>
      </c>
      <c r="D2" s="10" t="inlineStr">
        <is>
          <t>Market Cap (¥mm)</t>
        </is>
      </c>
      <c r="E2" s="10" t="inlineStr">
        <is>
          <t>Book Equity (¥mm)</t>
        </is>
      </c>
      <c r="F2" s="10" t="inlineStr">
        <is>
          <t>PBR (x)</t>
        </is>
      </c>
      <c r="G2" s="10" t="inlineStr">
        <is>
          <t>Net Cash (¥mm)</t>
        </is>
      </c>
      <c r="H2" s="10" t="inlineStr">
        <is>
          <t>Net Cash / MktCap</t>
        </is>
      </c>
      <c r="I2" s="10" t="inlineStr">
        <is>
          <t>ROE</t>
        </is>
      </c>
      <c r="J2" s="10" t="inlineStr">
        <is>
          <t>Avg Traded Value 3m (¥mm/day)</t>
        </is>
      </c>
      <c r="K2" s="10" t="inlineStr">
        <is>
          <t>Core Pass (1/0)</t>
        </is>
      </c>
      <c r="L2" s="10" t="inlineStr">
        <is>
          <t>Core Fail Reason</t>
        </is>
      </c>
      <c r="M2" s="10" t="inlineStr">
        <is>
          <t>Data Missing Flag</t>
        </is>
      </c>
      <c r="N2" s="10" t="inlineStr">
        <is>
          <t>Notes</t>
        </is>
      </c>
    </row>
    <row r="3">
      <c r="A3">
        <f>Fundamentals!A3</f>
        <v/>
      </c>
      <c r="B3">
        <f>Fundamentals!B3</f>
        <v/>
      </c>
      <c r="C3">
        <f>Fundamentals!C3</f>
        <v/>
      </c>
      <c r="D3" s="15">
        <f>Fundamentals!G3</f>
        <v/>
      </c>
      <c r="E3" s="15">
        <f>Fundamentals!H3</f>
        <v/>
      </c>
      <c r="F3" s="16">
        <f>IF(OR($D3="",$E3="",$E3=0),"",$D3/$E3)</f>
        <v/>
      </c>
      <c r="G3" s="15">
        <f>IF(OR(Fundamentals!I3="",Fundamentals!J3="",Fundamentals!K3=""),"",Fundamentals!I3+Fundamentals!J3-Fundamentals!K3)</f>
        <v/>
      </c>
      <c r="H3" s="17">
        <f>IF(OR($G3="",$D3="",$D3=0),"",$G3/$D3)</f>
        <v/>
      </c>
      <c r="I3" s="17">
        <f>IF(OR(Fundamentals!L3="",$E3="",$E3=0),"",Fundamentals!L3/$E3)</f>
        <v/>
      </c>
      <c r="J3" s="15">
        <f>Fundamentals!O3</f>
        <v/>
      </c>
      <c r="K3">
        <f>IF(OR($A3=""),"",IF(AND($C3&lt;&gt;"Growth",$F3&lt;&gt;"",$F3&lt;cfg_PBR_max,$G3&lt;&gt;"",$G3&gt;0,$J3&lt;&gt;"",$J3&gt;=cfg_Liq_min),1,0))</f>
        <v/>
      </c>
      <c r="L3">
        <f>IF($K3="","",IF($K3=1,"",(IF($C3="Growth","Market=Growth; ",""))&amp;(IF(OR($F3="",$F3&gt;=cfg_PBR_max),"PBR&gt;=max/missing; ",""))&amp;(IF(OR($G3="",$G3&lt;=0),"NetCash&lt;=0/missing; ",""))&amp;(IF(OR($J3="",$J3&lt;cfg_Liq_min),"Liquidity&lt;min/missing; ",""))))</f>
        <v/>
      </c>
      <c r="M3">
        <f>IF($A3="","",IF(OR($D3="",$E3="",Fundamentals!I3="",Fundamentals!K3="",$J3=""),1,0))</f>
        <v/>
      </c>
      <c r="N3">
        <f>Fundamentals!U3</f>
        <v/>
      </c>
    </row>
    <row r="4">
      <c r="A4">
        <f>Fundamentals!A4</f>
        <v/>
      </c>
      <c r="B4">
        <f>Fundamentals!B4</f>
        <v/>
      </c>
      <c r="C4">
        <f>Fundamentals!C4</f>
        <v/>
      </c>
      <c r="D4" s="15">
        <f>Fundamentals!G4</f>
        <v/>
      </c>
      <c r="E4" s="15">
        <f>Fundamentals!H4</f>
        <v/>
      </c>
      <c r="F4" s="16">
        <f>IF(OR($D4="",$E4="",$E4=0),"",$D4/$E4)</f>
        <v/>
      </c>
      <c r="G4" s="15">
        <f>IF(OR(Fundamentals!I4="",Fundamentals!J4="",Fundamentals!K4=""),"",Fundamentals!I4+Fundamentals!J4-Fundamentals!K4)</f>
        <v/>
      </c>
      <c r="H4" s="17">
        <f>IF(OR($G4="",$D4="",$D4=0),"",$G4/$D4)</f>
        <v/>
      </c>
      <c r="I4" s="17">
        <f>IF(OR(Fundamentals!L4="",$E4="",$E4=0),"",Fundamentals!L4/$E4)</f>
        <v/>
      </c>
      <c r="J4" s="15">
        <f>Fundamentals!O4</f>
        <v/>
      </c>
      <c r="K4">
        <f>IF(OR($A4=""),"",IF(AND($C4&lt;&gt;"Growth",$F4&lt;&gt;"",$F4&lt;cfg_PBR_max,$G4&lt;&gt;"",$G4&gt;0,$J4&lt;&gt;"",$J4&gt;=cfg_Liq_min),1,0))</f>
        <v/>
      </c>
      <c r="L4">
        <f>IF($K4="","",IF($K4=1,"",(IF($C4="Growth","Market=Growth; ",""))&amp;(IF(OR($F4="",$F4&gt;=cfg_PBR_max),"PBR&gt;=max/missing; ",""))&amp;(IF(OR($G4="",$G4&lt;=0),"NetCash&lt;=0/missing; ",""))&amp;(IF(OR($J4="",$J4&lt;cfg_Liq_min),"Liquidity&lt;min/missing; ",""))))</f>
        <v/>
      </c>
      <c r="M4">
        <f>IF($A4="","",IF(OR($D4="",$E4="",Fundamentals!I4="",Fundamentals!K4="",$J4=""),1,0))</f>
        <v/>
      </c>
      <c r="N4">
        <f>Fundamentals!U4</f>
        <v/>
      </c>
    </row>
    <row r="5">
      <c r="A5">
        <f>Fundamentals!A5</f>
        <v/>
      </c>
      <c r="B5">
        <f>Fundamentals!B5</f>
        <v/>
      </c>
      <c r="C5">
        <f>Fundamentals!C5</f>
        <v/>
      </c>
      <c r="D5" s="15">
        <f>Fundamentals!G5</f>
        <v/>
      </c>
      <c r="E5" s="15">
        <f>Fundamentals!H5</f>
        <v/>
      </c>
      <c r="F5" s="16">
        <f>IF(OR($D5="",$E5="",$E5=0),"",$D5/$E5)</f>
        <v/>
      </c>
      <c r="G5" s="15">
        <f>IF(OR(Fundamentals!I5="",Fundamentals!J5="",Fundamentals!K5=""),"",Fundamentals!I5+Fundamentals!J5-Fundamentals!K5)</f>
        <v/>
      </c>
      <c r="H5" s="17">
        <f>IF(OR($G5="",$D5="",$D5=0),"",$G5/$D5)</f>
        <v/>
      </c>
      <c r="I5" s="17">
        <f>IF(OR(Fundamentals!L5="",$E5="",$E5=0),"",Fundamentals!L5/$E5)</f>
        <v/>
      </c>
      <c r="J5" s="15">
        <f>Fundamentals!O5</f>
        <v/>
      </c>
      <c r="K5">
        <f>IF(OR($A5=""),"",IF(AND($C5&lt;&gt;"Growth",$F5&lt;&gt;"",$F5&lt;cfg_PBR_max,$G5&lt;&gt;"",$G5&gt;0,$J5&lt;&gt;"",$J5&gt;=cfg_Liq_min),1,0))</f>
        <v/>
      </c>
      <c r="L5">
        <f>IF($K5="","",IF($K5=1,"",(IF($C5="Growth","Market=Growth; ",""))&amp;(IF(OR($F5="",$F5&gt;=cfg_PBR_max),"PBR&gt;=max/missing; ",""))&amp;(IF(OR($G5="",$G5&lt;=0),"NetCash&lt;=0/missing; ",""))&amp;(IF(OR($J5="",$J5&lt;cfg_Liq_min),"Liquidity&lt;min/missing; ",""))))</f>
        <v/>
      </c>
      <c r="M5">
        <f>IF($A5="","",IF(OR($D5="",$E5="",Fundamentals!I5="",Fundamentals!K5="",$J5=""),1,0))</f>
        <v/>
      </c>
      <c r="N5">
        <f>Fundamentals!U5</f>
        <v/>
      </c>
    </row>
    <row r="6">
      <c r="A6">
        <f>Fundamentals!A6</f>
        <v/>
      </c>
      <c r="B6">
        <f>Fundamentals!B6</f>
        <v/>
      </c>
      <c r="C6">
        <f>Fundamentals!C6</f>
        <v/>
      </c>
      <c r="D6" s="15">
        <f>Fundamentals!G6</f>
        <v/>
      </c>
      <c r="E6" s="15">
        <f>Fundamentals!H6</f>
        <v/>
      </c>
      <c r="F6" s="16">
        <f>IF(OR($D6="",$E6="",$E6=0),"",$D6/$E6)</f>
        <v/>
      </c>
      <c r="G6" s="15">
        <f>IF(OR(Fundamentals!I6="",Fundamentals!J6="",Fundamentals!K6=""),"",Fundamentals!I6+Fundamentals!J6-Fundamentals!K6)</f>
        <v/>
      </c>
      <c r="H6" s="17">
        <f>IF(OR($G6="",$D6="",$D6=0),"",$G6/$D6)</f>
        <v/>
      </c>
      <c r="I6" s="17">
        <f>IF(OR(Fundamentals!L6="",$E6="",$E6=0),"",Fundamentals!L6/$E6)</f>
        <v/>
      </c>
      <c r="J6" s="15">
        <f>Fundamentals!O6</f>
        <v/>
      </c>
      <c r="K6">
        <f>IF(OR($A6=""),"",IF(AND($C6&lt;&gt;"Growth",$F6&lt;&gt;"",$F6&lt;cfg_PBR_max,$G6&lt;&gt;"",$G6&gt;0,$J6&lt;&gt;"",$J6&gt;=cfg_Liq_min),1,0))</f>
        <v/>
      </c>
      <c r="L6">
        <f>IF($K6="","",IF($K6=1,"",(IF($C6="Growth","Market=Growth; ",""))&amp;(IF(OR($F6="",$F6&gt;=cfg_PBR_max),"PBR&gt;=max/missing; ",""))&amp;(IF(OR($G6="",$G6&lt;=0),"NetCash&lt;=0/missing; ",""))&amp;(IF(OR($J6="",$J6&lt;cfg_Liq_min),"Liquidity&lt;min/missing; ",""))))</f>
        <v/>
      </c>
      <c r="M6">
        <f>IF($A6="","",IF(OR($D6="",$E6="",Fundamentals!I6="",Fundamentals!K6="",$J6=""),1,0))</f>
        <v/>
      </c>
      <c r="N6">
        <f>Fundamentals!U6</f>
        <v/>
      </c>
    </row>
    <row r="7">
      <c r="A7">
        <f>Fundamentals!A7</f>
        <v/>
      </c>
      <c r="B7">
        <f>Fundamentals!B7</f>
        <v/>
      </c>
      <c r="C7">
        <f>Fundamentals!C7</f>
        <v/>
      </c>
      <c r="D7" s="15">
        <f>Fundamentals!G7</f>
        <v/>
      </c>
      <c r="E7" s="15">
        <f>Fundamentals!H7</f>
        <v/>
      </c>
      <c r="F7" s="16">
        <f>IF(OR($D7="",$E7="",$E7=0),"",$D7/$E7)</f>
        <v/>
      </c>
      <c r="G7" s="15">
        <f>IF(OR(Fundamentals!I7="",Fundamentals!J7="",Fundamentals!K7=""),"",Fundamentals!I7+Fundamentals!J7-Fundamentals!K7)</f>
        <v/>
      </c>
      <c r="H7" s="17">
        <f>IF(OR($G7="",$D7="",$D7=0),"",$G7/$D7)</f>
        <v/>
      </c>
      <c r="I7" s="17">
        <f>IF(OR(Fundamentals!L7="",$E7="",$E7=0),"",Fundamentals!L7/$E7)</f>
        <v/>
      </c>
      <c r="J7" s="15">
        <f>Fundamentals!O7</f>
        <v/>
      </c>
      <c r="K7">
        <f>IF(OR($A7=""),"",IF(AND($C7&lt;&gt;"Growth",$F7&lt;&gt;"",$F7&lt;cfg_PBR_max,$G7&lt;&gt;"",$G7&gt;0,$J7&lt;&gt;"",$J7&gt;=cfg_Liq_min),1,0))</f>
        <v/>
      </c>
      <c r="L7">
        <f>IF($K7="","",IF($K7=1,"",(IF($C7="Growth","Market=Growth; ",""))&amp;(IF(OR($F7="",$F7&gt;=cfg_PBR_max),"PBR&gt;=max/missing; ",""))&amp;(IF(OR($G7="",$G7&lt;=0),"NetCash&lt;=0/missing; ",""))&amp;(IF(OR($J7="",$J7&lt;cfg_Liq_min),"Liquidity&lt;min/missing; ",""))))</f>
        <v/>
      </c>
      <c r="M7">
        <f>IF($A7="","",IF(OR($D7="",$E7="",Fundamentals!I7="",Fundamentals!K7="",$J7=""),1,0))</f>
        <v/>
      </c>
      <c r="N7">
        <f>Fundamentals!U7</f>
        <v/>
      </c>
    </row>
    <row r="8">
      <c r="A8">
        <f>Fundamentals!A8</f>
        <v/>
      </c>
      <c r="B8">
        <f>Fundamentals!B8</f>
        <v/>
      </c>
      <c r="C8">
        <f>Fundamentals!C8</f>
        <v/>
      </c>
      <c r="D8" s="15">
        <f>Fundamentals!G8</f>
        <v/>
      </c>
      <c r="E8" s="15">
        <f>Fundamentals!H8</f>
        <v/>
      </c>
      <c r="F8" s="16">
        <f>IF(OR($D8="",$E8="",$E8=0),"",$D8/$E8)</f>
        <v/>
      </c>
      <c r="G8" s="15">
        <f>IF(OR(Fundamentals!I8="",Fundamentals!J8="",Fundamentals!K8=""),"",Fundamentals!I8+Fundamentals!J8-Fundamentals!K8)</f>
        <v/>
      </c>
      <c r="H8" s="17">
        <f>IF(OR($G8="",$D8="",$D8=0),"",$G8/$D8)</f>
        <v/>
      </c>
      <c r="I8" s="17">
        <f>IF(OR(Fundamentals!L8="",$E8="",$E8=0),"",Fundamentals!L8/$E8)</f>
        <v/>
      </c>
      <c r="J8" s="15">
        <f>Fundamentals!O8</f>
        <v/>
      </c>
      <c r="K8">
        <f>IF(OR($A8=""),"",IF(AND($C8&lt;&gt;"Growth",$F8&lt;&gt;"",$F8&lt;cfg_PBR_max,$G8&lt;&gt;"",$G8&gt;0,$J8&lt;&gt;"",$J8&gt;=cfg_Liq_min),1,0))</f>
        <v/>
      </c>
      <c r="L8">
        <f>IF($K8="","",IF($K8=1,"",(IF($C8="Growth","Market=Growth; ",""))&amp;(IF(OR($F8="",$F8&gt;=cfg_PBR_max),"PBR&gt;=max/missing; ",""))&amp;(IF(OR($G8="",$G8&lt;=0),"NetCash&lt;=0/missing; ",""))&amp;(IF(OR($J8="",$J8&lt;cfg_Liq_min),"Liquidity&lt;min/missing; ",""))))</f>
        <v/>
      </c>
      <c r="M8">
        <f>IF($A8="","",IF(OR($D8="",$E8="",Fundamentals!I8="",Fundamentals!K8="",$J8=""),1,0))</f>
        <v/>
      </c>
      <c r="N8">
        <f>Fundamentals!U8</f>
        <v/>
      </c>
    </row>
    <row r="9">
      <c r="A9">
        <f>Fundamentals!A9</f>
        <v/>
      </c>
      <c r="B9">
        <f>Fundamentals!B9</f>
        <v/>
      </c>
      <c r="C9">
        <f>Fundamentals!C9</f>
        <v/>
      </c>
      <c r="D9" s="15">
        <f>Fundamentals!G9</f>
        <v/>
      </c>
      <c r="E9" s="15">
        <f>Fundamentals!H9</f>
        <v/>
      </c>
      <c r="F9" s="16">
        <f>IF(OR($D9="",$E9="",$E9=0),"",$D9/$E9)</f>
        <v/>
      </c>
      <c r="G9" s="15">
        <f>IF(OR(Fundamentals!I9="",Fundamentals!J9="",Fundamentals!K9=""),"",Fundamentals!I9+Fundamentals!J9-Fundamentals!K9)</f>
        <v/>
      </c>
      <c r="H9" s="17">
        <f>IF(OR($G9="",$D9="",$D9=0),"",$G9/$D9)</f>
        <v/>
      </c>
      <c r="I9" s="17">
        <f>IF(OR(Fundamentals!L9="",$E9="",$E9=0),"",Fundamentals!L9/$E9)</f>
        <v/>
      </c>
      <c r="J9" s="15">
        <f>Fundamentals!O9</f>
        <v/>
      </c>
      <c r="K9">
        <f>IF(OR($A9=""),"",IF(AND($C9&lt;&gt;"Growth",$F9&lt;&gt;"",$F9&lt;cfg_PBR_max,$G9&lt;&gt;"",$G9&gt;0,$J9&lt;&gt;"",$J9&gt;=cfg_Liq_min),1,0))</f>
        <v/>
      </c>
      <c r="L9">
        <f>IF($K9="","",IF($K9=1,"",(IF($C9="Growth","Market=Growth; ",""))&amp;(IF(OR($F9="",$F9&gt;=cfg_PBR_max),"PBR&gt;=max/missing; ",""))&amp;(IF(OR($G9="",$G9&lt;=0),"NetCash&lt;=0/missing; ",""))&amp;(IF(OR($J9="",$J9&lt;cfg_Liq_min),"Liquidity&lt;min/missing; ",""))))</f>
        <v/>
      </c>
      <c r="M9">
        <f>IF($A9="","",IF(OR($D9="",$E9="",Fundamentals!I9="",Fundamentals!K9="",$J9=""),1,0))</f>
        <v/>
      </c>
      <c r="N9">
        <f>Fundamentals!U9</f>
        <v/>
      </c>
    </row>
    <row r="10">
      <c r="A10">
        <f>Fundamentals!A10</f>
        <v/>
      </c>
      <c r="B10">
        <f>Fundamentals!B10</f>
        <v/>
      </c>
      <c r="C10">
        <f>Fundamentals!C10</f>
        <v/>
      </c>
      <c r="D10" s="15">
        <f>Fundamentals!G10</f>
        <v/>
      </c>
      <c r="E10" s="15">
        <f>Fundamentals!H10</f>
        <v/>
      </c>
      <c r="F10" s="16">
        <f>IF(OR($D10="",$E10="",$E10=0),"",$D10/$E10)</f>
        <v/>
      </c>
      <c r="G10" s="15">
        <f>IF(OR(Fundamentals!I10="",Fundamentals!J10="",Fundamentals!K10=""),"",Fundamentals!I10+Fundamentals!J10-Fundamentals!K10)</f>
        <v/>
      </c>
      <c r="H10" s="17">
        <f>IF(OR($G10="",$D10="",$D10=0),"",$G10/$D10)</f>
        <v/>
      </c>
      <c r="I10" s="17">
        <f>IF(OR(Fundamentals!L10="",$E10="",$E10=0),"",Fundamentals!L10/$E10)</f>
        <v/>
      </c>
      <c r="J10" s="15">
        <f>Fundamentals!O10</f>
        <v/>
      </c>
      <c r="K10">
        <f>IF(OR($A10=""),"",IF(AND($C10&lt;&gt;"Growth",$F10&lt;&gt;"",$F10&lt;cfg_PBR_max,$G10&lt;&gt;"",$G10&gt;0,$J10&lt;&gt;"",$J10&gt;=cfg_Liq_min),1,0))</f>
        <v/>
      </c>
      <c r="L10">
        <f>IF($K10="","",IF($K10=1,"",(IF($C10="Growth","Market=Growth; ",""))&amp;(IF(OR($F10="",$F10&gt;=cfg_PBR_max),"PBR&gt;=max/missing; ",""))&amp;(IF(OR($G10="",$G10&lt;=0),"NetCash&lt;=0/missing; ",""))&amp;(IF(OR($J10="",$J10&lt;cfg_Liq_min),"Liquidity&lt;min/missing; ",""))))</f>
        <v/>
      </c>
      <c r="M10">
        <f>IF($A10="","",IF(OR($D10="",$E10="",Fundamentals!I10="",Fundamentals!K10="",$J10=""),1,0))</f>
        <v/>
      </c>
      <c r="N10">
        <f>Fundamentals!U10</f>
        <v/>
      </c>
    </row>
    <row r="11">
      <c r="A11">
        <f>Fundamentals!A11</f>
        <v/>
      </c>
      <c r="B11">
        <f>Fundamentals!B11</f>
        <v/>
      </c>
      <c r="C11">
        <f>Fundamentals!C11</f>
        <v/>
      </c>
      <c r="D11" s="15">
        <f>Fundamentals!G11</f>
        <v/>
      </c>
      <c r="E11" s="15">
        <f>Fundamentals!H11</f>
        <v/>
      </c>
      <c r="F11" s="16">
        <f>IF(OR($D11="",$E11="",$E11=0),"",$D11/$E11)</f>
        <v/>
      </c>
      <c r="G11" s="15">
        <f>IF(OR(Fundamentals!I11="",Fundamentals!J11="",Fundamentals!K11=""),"",Fundamentals!I11+Fundamentals!J11-Fundamentals!K11)</f>
        <v/>
      </c>
      <c r="H11" s="17">
        <f>IF(OR($G11="",$D11="",$D11=0),"",$G11/$D11)</f>
        <v/>
      </c>
      <c r="I11" s="17">
        <f>IF(OR(Fundamentals!L11="",$E11="",$E11=0),"",Fundamentals!L11/$E11)</f>
        <v/>
      </c>
      <c r="J11" s="15">
        <f>Fundamentals!O11</f>
        <v/>
      </c>
      <c r="K11">
        <f>IF(OR($A11=""),"",IF(AND($C11&lt;&gt;"Growth",$F11&lt;&gt;"",$F11&lt;cfg_PBR_max,$G11&lt;&gt;"",$G11&gt;0,$J11&lt;&gt;"",$J11&gt;=cfg_Liq_min),1,0))</f>
        <v/>
      </c>
      <c r="L11">
        <f>IF($K11="","",IF($K11=1,"",(IF($C11="Growth","Market=Growth; ",""))&amp;(IF(OR($F11="",$F11&gt;=cfg_PBR_max),"PBR&gt;=max/missing; ",""))&amp;(IF(OR($G11="",$G11&lt;=0),"NetCash&lt;=0/missing; ",""))&amp;(IF(OR($J11="",$J11&lt;cfg_Liq_min),"Liquidity&lt;min/missing; ",""))))</f>
        <v/>
      </c>
      <c r="M11">
        <f>IF($A11="","",IF(OR($D11="",$E11="",Fundamentals!I11="",Fundamentals!K11="",$J11=""),1,0))</f>
        <v/>
      </c>
      <c r="N11">
        <f>Fundamentals!U11</f>
        <v/>
      </c>
    </row>
    <row r="12">
      <c r="A12">
        <f>Fundamentals!A12</f>
        <v/>
      </c>
      <c r="B12">
        <f>Fundamentals!B12</f>
        <v/>
      </c>
      <c r="C12">
        <f>Fundamentals!C12</f>
        <v/>
      </c>
      <c r="D12" s="15">
        <f>Fundamentals!G12</f>
        <v/>
      </c>
      <c r="E12" s="15">
        <f>Fundamentals!H12</f>
        <v/>
      </c>
      <c r="F12" s="16">
        <f>IF(OR($D12="",$E12="",$E12=0),"",$D12/$E12)</f>
        <v/>
      </c>
      <c r="G12" s="15">
        <f>IF(OR(Fundamentals!I12="",Fundamentals!J12="",Fundamentals!K12=""),"",Fundamentals!I12+Fundamentals!J12-Fundamentals!K12)</f>
        <v/>
      </c>
      <c r="H12" s="17">
        <f>IF(OR($G12="",$D12="",$D12=0),"",$G12/$D12)</f>
        <v/>
      </c>
      <c r="I12" s="17">
        <f>IF(OR(Fundamentals!L12="",$E12="",$E12=0),"",Fundamentals!L12/$E12)</f>
        <v/>
      </c>
      <c r="J12" s="15">
        <f>Fundamentals!O12</f>
        <v/>
      </c>
      <c r="K12">
        <f>IF(OR($A12=""),"",IF(AND($C12&lt;&gt;"Growth",$F12&lt;&gt;"",$F12&lt;cfg_PBR_max,$G12&lt;&gt;"",$G12&gt;0,$J12&lt;&gt;"",$J12&gt;=cfg_Liq_min),1,0))</f>
        <v/>
      </c>
      <c r="L12">
        <f>IF($K12="","",IF($K12=1,"",(IF($C12="Growth","Market=Growth; ",""))&amp;(IF(OR($F12="",$F12&gt;=cfg_PBR_max),"PBR&gt;=max/missing; ",""))&amp;(IF(OR($G12="",$G12&lt;=0),"NetCash&lt;=0/missing; ",""))&amp;(IF(OR($J12="",$J12&lt;cfg_Liq_min),"Liquidity&lt;min/missing; ",""))))</f>
        <v/>
      </c>
      <c r="M12">
        <f>IF($A12="","",IF(OR($D12="",$E12="",Fundamentals!I12="",Fundamentals!K12="",$J12=""),1,0))</f>
        <v/>
      </c>
      <c r="N12">
        <f>Fundamentals!U12</f>
        <v/>
      </c>
    </row>
    <row r="13">
      <c r="A13">
        <f>Fundamentals!A13</f>
        <v/>
      </c>
      <c r="B13">
        <f>Fundamentals!B13</f>
        <v/>
      </c>
      <c r="C13">
        <f>Fundamentals!C13</f>
        <v/>
      </c>
      <c r="D13" s="15">
        <f>Fundamentals!G13</f>
        <v/>
      </c>
      <c r="E13" s="15">
        <f>Fundamentals!H13</f>
        <v/>
      </c>
      <c r="F13" s="16">
        <f>IF(OR($D13="",$E13="",$E13=0),"",$D13/$E13)</f>
        <v/>
      </c>
      <c r="G13" s="15">
        <f>IF(OR(Fundamentals!I13="",Fundamentals!J13="",Fundamentals!K13=""),"",Fundamentals!I13+Fundamentals!J13-Fundamentals!K13)</f>
        <v/>
      </c>
      <c r="H13" s="17">
        <f>IF(OR($G13="",$D13="",$D13=0),"",$G13/$D13)</f>
        <v/>
      </c>
      <c r="I13" s="17">
        <f>IF(OR(Fundamentals!L13="",$E13="",$E13=0),"",Fundamentals!L13/$E13)</f>
        <v/>
      </c>
      <c r="J13" s="15">
        <f>Fundamentals!O13</f>
        <v/>
      </c>
      <c r="K13">
        <f>IF(OR($A13=""),"",IF(AND($C13&lt;&gt;"Growth",$F13&lt;&gt;"",$F13&lt;cfg_PBR_max,$G13&lt;&gt;"",$G13&gt;0,$J13&lt;&gt;"",$J13&gt;=cfg_Liq_min),1,0))</f>
        <v/>
      </c>
      <c r="L13">
        <f>IF($K13="","",IF($K13=1,"",(IF($C13="Growth","Market=Growth; ",""))&amp;(IF(OR($F13="",$F13&gt;=cfg_PBR_max),"PBR&gt;=max/missing; ",""))&amp;(IF(OR($G13="",$G13&lt;=0),"NetCash&lt;=0/missing; ",""))&amp;(IF(OR($J13="",$J13&lt;cfg_Liq_min),"Liquidity&lt;min/missing; ",""))))</f>
        <v/>
      </c>
      <c r="M13">
        <f>IF($A13="","",IF(OR($D13="",$E13="",Fundamentals!I13="",Fundamentals!K13="",$J13=""),1,0))</f>
        <v/>
      </c>
      <c r="N13">
        <f>Fundamentals!U13</f>
        <v/>
      </c>
    </row>
    <row r="14">
      <c r="A14">
        <f>Fundamentals!A14</f>
        <v/>
      </c>
      <c r="B14">
        <f>Fundamentals!B14</f>
        <v/>
      </c>
      <c r="C14">
        <f>Fundamentals!C14</f>
        <v/>
      </c>
      <c r="D14" s="15">
        <f>Fundamentals!G14</f>
        <v/>
      </c>
      <c r="E14" s="15">
        <f>Fundamentals!H14</f>
        <v/>
      </c>
      <c r="F14" s="16">
        <f>IF(OR($D14="",$E14="",$E14=0),"",$D14/$E14)</f>
        <v/>
      </c>
      <c r="G14" s="15">
        <f>IF(OR(Fundamentals!I14="",Fundamentals!J14="",Fundamentals!K14=""),"",Fundamentals!I14+Fundamentals!J14-Fundamentals!K14)</f>
        <v/>
      </c>
      <c r="H14" s="17">
        <f>IF(OR($G14="",$D14="",$D14=0),"",$G14/$D14)</f>
        <v/>
      </c>
      <c r="I14" s="17">
        <f>IF(OR(Fundamentals!L14="",$E14="",$E14=0),"",Fundamentals!L14/$E14)</f>
        <v/>
      </c>
      <c r="J14" s="15">
        <f>Fundamentals!O14</f>
        <v/>
      </c>
      <c r="K14">
        <f>IF(OR($A14=""),"",IF(AND($C14&lt;&gt;"Growth",$F14&lt;&gt;"",$F14&lt;cfg_PBR_max,$G14&lt;&gt;"",$G14&gt;0,$J14&lt;&gt;"",$J14&gt;=cfg_Liq_min),1,0))</f>
        <v/>
      </c>
      <c r="L14">
        <f>IF($K14="","",IF($K14=1,"",(IF($C14="Growth","Market=Growth; ",""))&amp;(IF(OR($F14="",$F14&gt;=cfg_PBR_max),"PBR&gt;=max/missing; ",""))&amp;(IF(OR($G14="",$G14&lt;=0),"NetCash&lt;=0/missing; ",""))&amp;(IF(OR($J14="",$J14&lt;cfg_Liq_min),"Liquidity&lt;min/missing; ",""))))</f>
        <v/>
      </c>
      <c r="M14">
        <f>IF($A14="","",IF(OR($D14="",$E14="",Fundamentals!I14="",Fundamentals!K14="",$J14=""),1,0))</f>
        <v/>
      </c>
      <c r="N14">
        <f>Fundamentals!U14</f>
        <v/>
      </c>
    </row>
    <row r="15">
      <c r="A15">
        <f>Fundamentals!A15</f>
        <v/>
      </c>
      <c r="B15">
        <f>Fundamentals!B15</f>
        <v/>
      </c>
      <c r="C15">
        <f>Fundamentals!C15</f>
        <v/>
      </c>
      <c r="D15" s="15">
        <f>Fundamentals!G15</f>
        <v/>
      </c>
      <c r="E15" s="15">
        <f>Fundamentals!H15</f>
        <v/>
      </c>
      <c r="F15" s="16">
        <f>IF(OR($D15="",$E15="",$E15=0),"",$D15/$E15)</f>
        <v/>
      </c>
      <c r="G15" s="15">
        <f>IF(OR(Fundamentals!I15="",Fundamentals!J15="",Fundamentals!K15=""),"",Fundamentals!I15+Fundamentals!J15-Fundamentals!K15)</f>
        <v/>
      </c>
      <c r="H15" s="17">
        <f>IF(OR($G15="",$D15="",$D15=0),"",$G15/$D15)</f>
        <v/>
      </c>
      <c r="I15" s="17">
        <f>IF(OR(Fundamentals!L15="",$E15="",$E15=0),"",Fundamentals!L15/$E15)</f>
        <v/>
      </c>
      <c r="J15" s="15">
        <f>Fundamentals!O15</f>
        <v/>
      </c>
      <c r="K15">
        <f>IF(OR($A15=""),"",IF(AND($C15&lt;&gt;"Growth",$F15&lt;&gt;"",$F15&lt;cfg_PBR_max,$G15&lt;&gt;"",$G15&gt;0,$J15&lt;&gt;"",$J15&gt;=cfg_Liq_min),1,0))</f>
        <v/>
      </c>
      <c r="L15">
        <f>IF($K15="","",IF($K15=1,"",(IF($C15="Growth","Market=Growth; ",""))&amp;(IF(OR($F15="",$F15&gt;=cfg_PBR_max),"PBR&gt;=max/missing; ",""))&amp;(IF(OR($G15="",$G15&lt;=0),"NetCash&lt;=0/missing; ",""))&amp;(IF(OR($J15="",$J15&lt;cfg_Liq_min),"Liquidity&lt;min/missing; ",""))))</f>
        <v/>
      </c>
      <c r="M15">
        <f>IF($A15="","",IF(OR($D15="",$E15="",Fundamentals!I15="",Fundamentals!K15="",$J15=""),1,0))</f>
        <v/>
      </c>
      <c r="N15">
        <f>Fundamentals!U15</f>
        <v/>
      </c>
    </row>
    <row r="16">
      <c r="A16">
        <f>Fundamentals!A16</f>
        <v/>
      </c>
      <c r="B16">
        <f>Fundamentals!B16</f>
        <v/>
      </c>
      <c r="C16">
        <f>Fundamentals!C16</f>
        <v/>
      </c>
      <c r="D16" s="15">
        <f>Fundamentals!G16</f>
        <v/>
      </c>
      <c r="E16" s="15">
        <f>Fundamentals!H16</f>
        <v/>
      </c>
      <c r="F16" s="16">
        <f>IF(OR($D16="",$E16="",$E16=0),"",$D16/$E16)</f>
        <v/>
      </c>
      <c r="G16" s="15">
        <f>IF(OR(Fundamentals!I16="",Fundamentals!J16="",Fundamentals!K16=""),"",Fundamentals!I16+Fundamentals!J16-Fundamentals!K16)</f>
        <v/>
      </c>
      <c r="H16" s="17">
        <f>IF(OR($G16="",$D16="",$D16=0),"",$G16/$D16)</f>
        <v/>
      </c>
      <c r="I16" s="17">
        <f>IF(OR(Fundamentals!L16="",$E16="",$E16=0),"",Fundamentals!L16/$E16)</f>
        <v/>
      </c>
      <c r="J16" s="15">
        <f>Fundamentals!O16</f>
        <v/>
      </c>
      <c r="K16">
        <f>IF(OR($A16=""),"",IF(AND($C16&lt;&gt;"Growth",$F16&lt;&gt;"",$F16&lt;cfg_PBR_max,$G16&lt;&gt;"",$G16&gt;0,$J16&lt;&gt;"",$J16&gt;=cfg_Liq_min),1,0))</f>
        <v/>
      </c>
      <c r="L16">
        <f>IF($K16="","",IF($K16=1,"",(IF($C16="Growth","Market=Growth; ",""))&amp;(IF(OR($F16="",$F16&gt;=cfg_PBR_max),"PBR&gt;=max/missing; ",""))&amp;(IF(OR($G16="",$G16&lt;=0),"NetCash&lt;=0/missing; ",""))&amp;(IF(OR($J16="",$J16&lt;cfg_Liq_min),"Liquidity&lt;min/missing; ",""))))</f>
        <v/>
      </c>
      <c r="M16">
        <f>IF($A16="","",IF(OR($D16="",$E16="",Fundamentals!I16="",Fundamentals!K16="",$J16=""),1,0))</f>
        <v/>
      </c>
      <c r="N16">
        <f>Fundamentals!U16</f>
        <v/>
      </c>
    </row>
    <row r="17">
      <c r="A17">
        <f>Fundamentals!A17</f>
        <v/>
      </c>
      <c r="B17">
        <f>Fundamentals!B17</f>
        <v/>
      </c>
      <c r="C17">
        <f>Fundamentals!C17</f>
        <v/>
      </c>
      <c r="D17" s="15">
        <f>Fundamentals!G17</f>
        <v/>
      </c>
      <c r="E17" s="15">
        <f>Fundamentals!H17</f>
        <v/>
      </c>
      <c r="F17" s="16">
        <f>IF(OR($D17="",$E17="",$E17=0),"",$D17/$E17)</f>
        <v/>
      </c>
      <c r="G17" s="15">
        <f>IF(OR(Fundamentals!I17="",Fundamentals!J17="",Fundamentals!K17=""),"",Fundamentals!I17+Fundamentals!J17-Fundamentals!K17)</f>
        <v/>
      </c>
      <c r="H17" s="17">
        <f>IF(OR($G17="",$D17="",$D17=0),"",$G17/$D17)</f>
        <v/>
      </c>
      <c r="I17" s="17">
        <f>IF(OR(Fundamentals!L17="",$E17="",$E17=0),"",Fundamentals!L17/$E17)</f>
        <v/>
      </c>
      <c r="J17" s="15">
        <f>Fundamentals!O17</f>
        <v/>
      </c>
      <c r="K17">
        <f>IF(OR($A17=""),"",IF(AND($C17&lt;&gt;"Growth",$F17&lt;&gt;"",$F17&lt;cfg_PBR_max,$G17&lt;&gt;"",$G17&gt;0,$J17&lt;&gt;"",$J17&gt;=cfg_Liq_min),1,0))</f>
        <v/>
      </c>
      <c r="L17">
        <f>IF($K17="","",IF($K17=1,"",(IF($C17="Growth","Market=Growth; ",""))&amp;(IF(OR($F17="",$F17&gt;=cfg_PBR_max),"PBR&gt;=max/missing; ",""))&amp;(IF(OR($G17="",$G17&lt;=0),"NetCash&lt;=0/missing; ",""))&amp;(IF(OR($J17="",$J17&lt;cfg_Liq_min),"Liquidity&lt;min/missing; ",""))))</f>
        <v/>
      </c>
      <c r="M17">
        <f>IF($A17="","",IF(OR($D17="",$E17="",Fundamentals!I17="",Fundamentals!K17="",$J17=""),1,0))</f>
        <v/>
      </c>
      <c r="N17">
        <f>Fundamentals!U17</f>
        <v/>
      </c>
    </row>
    <row r="18">
      <c r="A18">
        <f>Fundamentals!A18</f>
        <v/>
      </c>
      <c r="B18">
        <f>Fundamentals!B18</f>
        <v/>
      </c>
      <c r="C18">
        <f>Fundamentals!C18</f>
        <v/>
      </c>
      <c r="D18" s="15">
        <f>Fundamentals!G18</f>
        <v/>
      </c>
      <c r="E18" s="15">
        <f>Fundamentals!H18</f>
        <v/>
      </c>
      <c r="F18" s="16">
        <f>IF(OR($D18="",$E18="",$E18=0),"",$D18/$E18)</f>
        <v/>
      </c>
      <c r="G18" s="15">
        <f>IF(OR(Fundamentals!I18="",Fundamentals!J18="",Fundamentals!K18=""),"",Fundamentals!I18+Fundamentals!J18-Fundamentals!K18)</f>
        <v/>
      </c>
      <c r="H18" s="17">
        <f>IF(OR($G18="",$D18="",$D18=0),"",$G18/$D18)</f>
        <v/>
      </c>
      <c r="I18" s="17">
        <f>IF(OR(Fundamentals!L18="",$E18="",$E18=0),"",Fundamentals!L18/$E18)</f>
        <v/>
      </c>
      <c r="J18" s="15">
        <f>Fundamentals!O18</f>
        <v/>
      </c>
      <c r="K18">
        <f>IF(OR($A18=""),"",IF(AND($C18&lt;&gt;"Growth",$F18&lt;&gt;"",$F18&lt;cfg_PBR_max,$G18&lt;&gt;"",$G18&gt;0,$J18&lt;&gt;"",$J18&gt;=cfg_Liq_min),1,0))</f>
        <v/>
      </c>
      <c r="L18">
        <f>IF($K18="","",IF($K18=1,"",(IF($C18="Growth","Market=Growth; ",""))&amp;(IF(OR($F18="",$F18&gt;=cfg_PBR_max),"PBR&gt;=max/missing; ",""))&amp;(IF(OR($G18="",$G18&lt;=0),"NetCash&lt;=0/missing; ",""))&amp;(IF(OR($J18="",$J18&lt;cfg_Liq_min),"Liquidity&lt;min/missing; ",""))))</f>
        <v/>
      </c>
      <c r="M18">
        <f>IF($A18="","",IF(OR($D18="",$E18="",Fundamentals!I18="",Fundamentals!K18="",$J18=""),1,0))</f>
        <v/>
      </c>
      <c r="N18">
        <f>Fundamentals!U18</f>
        <v/>
      </c>
    </row>
    <row r="19">
      <c r="A19">
        <f>Fundamentals!A19</f>
        <v/>
      </c>
      <c r="B19">
        <f>Fundamentals!B19</f>
        <v/>
      </c>
      <c r="C19">
        <f>Fundamentals!C19</f>
        <v/>
      </c>
      <c r="D19" s="15">
        <f>Fundamentals!G19</f>
        <v/>
      </c>
      <c r="E19" s="15">
        <f>Fundamentals!H19</f>
        <v/>
      </c>
      <c r="F19" s="16">
        <f>IF(OR($D19="",$E19="",$E19=0),"",$D19/$E19)</f>
        <v/>
      </c>
      <c r="G19" s="15">
        <f>IF(OR(Fundamentals!I19="",Fundamentals!J19="",Fundamentals!K19=""),"",Fundamentals!I19+Fundamentals!J19-Fundamentals!K19)</f>
        <v/>
      </c>
      <c r="H19" s="17">
        <f>IF(OR($G19="",$D19="",$D19=0),"",$G19/$D19)</f>
        <v/>
      </c>
      <c r="I19" s="17">
        <f>IF(OR(Fundamentals!L19="",$E19="",$E19=0),"",Fundamentals!L19/$E19)</f>
        <v/>
      </c>
      <c r="J19" s="15">
        <f>Fundamentals!O19</f>
        <v/>
      </c>
      <c r="K19">
        <f>IF(OR($A19=""),"",IF(AND($C19&lt;&gt;"Growth",$F19&lt;&gt;"",$F19&lt;cfg_PBR_max,$G19&lt;&gt;"",$G19&gt;0,$J19&lt;&gt;"",$J19&gt;=cfg_Liq_min),1,0))</f>
        <v/>
      </c>
      <c r="L19">
        <f>IF($K19="","",IF($K19=1,"",(IF($C19="Growth","Market=Growth; ",""))&amp;(IF(OR($F19="",$F19&gt;=cfg_PBR_max),"PBR&gt;=max/missing; ",""))&amp;(IF(OR($G19="",$G19&lt;=0),"NetCash&lt;=0/missing; ",""))&amp;(IF(OR($J19="",$J19&lt;cfg_Liq_min),"Liquidity&lt;min/missing; ",""))))</f>
        <v/>
      </c>
      <c r="M19">
        <f>IF($A19="","",IF(OR($D19="",$E19="",Fundamentals!I19="",Fundamentals!K19="",$J19=""),1,0))</f>
        <v/>
      </c>
      <c r="N19">
        <f>Fundamentals!U19</f>
        <v/>
      </c>
    </row>
    <row r="20">
      <c r="A20">
        <f>Fundamentals!A20</f>
        <v/>
      </c>
      <c r="B20">
        <f>Fundamentals!B20</f>
        <v/>
      </c>
      <c r="C20">
        <f>Fundamentals!C20</f>
        <v/>
      </c>
      <c r="D20" s="15">
        <f>Fundamentals!G20</f>
        <v/>
      </c>
      <c r="E20" s="15">
        <f>Fundamentals!H20</f>
        <v/>
      </c>
      <c r="F20" s="16">
        <f>IF(OR($D20="",$E20="",$E20=0),"",$D20/$E20)</f>
        <v/>
      </c>
      <c r="G20" s="15">
        <f>IF(OR(Fundamentals!I20="",Fundamentals!J20="",Fundamentals!K20=""),"",Fundamentals!I20+Fundamentals!J20-Fundamentals!K20)</f>
        <v/>
      </c>
      <c r="H20" s="17">
        <f>IF(OR($G20="",$D20="",$D20=0),"",$G20/$D20)</f>
        <v/>
      </c>
      <c r="I20" s="17">
        <f>IF(OR(Fundamentals!L20="",$E20="",$E20=0),"",Fundamentals!L20/$E20)</f>
        <v/>
      </c>
      <c r="J20" s="15">
        <f>Fundamentals!O20</f>
        <v/>
      </c>
      <c r="K20">
        <f>IF(OR($A20=""),"",IF(AND($C20&lt;&gt;"Growth",$F20&lt;&gt;"",$F20&lt;cfg_PBR_max,$G20&lt;&gt;"",$G20&gt;0,$J20&lt;&gt;"",$J20&gt;=cfg_Liq_min),1,0))</f>
        <v/>
      </c>
      <c r="L20">
        <f>IF($K20="","",IF($K20=1,"",(IF($C20="Growth","Market=Growth; ",""))&amp;(IF(OR($F20="",$F20&gt;=cfg_PBR_max),"PBR&gt;=max/missing; ",""))&amp;(IF(OR($G20="",$G20&lt;=0),"NetCash&lt;=0/missing; ",""))&amp;(IF(OR($J20="",$J20&lt;cfg_Liq_min),"Liquidity&lt;min/missing; ",""))))</f>
        <v/>
      </c>
      <c r="M20">
        <f>IF($A20="","",IF(OR($D20="",$E20="",Fundamentals!I20="",Fundamentals!K20="",$J20=""),1,0))</f>
        <v/>
      </c>
      <c r="N20">
        <f>Fundamentals!U20</f>
        <v/>
      </c>
    </row>
    <row r="21">
      <c r="A21">
        <f>Fundamentals!A21</f>
        <v/>
      </c>
      <c r="B21">
        <f>Fundamentals!B21</f>
        <v/>
      </c>
      <c r="C21">
        <f>Fundamentals!C21</f>
        <v/>
      </c>
      <c r="D21" s="15">
        <f>Fundamentals!G21</f>
        <v/>
      </c>
      <c r="E21" s="15">
        <f>Fundamentals!H21</f>
        <v/>
      </c>
      <c r="F21" s="16">
        <f>IF(OR($D21="",$E21="",$E21=0),"",$D21/$E21)</f>
        <v/>
      </c>
      <c r="G21" s="15">
        <f>IF(OR(Fundamentals!I21="",Fundamentals!J21="",Fundamentals!K21=""),"",Fundamentals!I21+Fundamentals!J21-Fundamentals!K21)</f>
        <v/>
      </c>
      <c r="H21" s="17">
        <f>IF(OR($G21="",$D21="",$D21=0),"",$G21/$D21)</f>
        <v/>
      </c>
      <c r="I21" s="17">
        <f>IF(OR(Fundamentals!L21="",$E21="",$E21=0),"",Fundamentals!L21/$E21)</f>
        <v/>
      </c>
      <c r="J21" s="15">
        <f>Fundamentals!O21</f>
        <v/>
      </c>
      <c r="K21">
        <f>IF(OR($A21=""),"",IF(AND($C21&lt;&gt;"Growth",$F21&lt;&gt;"",$F21&lt;cfg_PBR_max,$G21&lt;&gt;"",$G21&gt;0,$J21&lt;&gt;"",$J21&gt;=cfg_Liq_min),1,0))</f>
        <v/>
      </c>
      <c r="L21">
        <f>IF($K21="","",IF($K21=1,"",(IF($C21="Growth","Market=Growth; ",""))&amp;(IF(OR($F21="",$F21&gt;=cfg_PBR_max),"PBR&gt;=max/missing; ",""))&amp;(IF(OR($G21="",$G21&lt;=0),"NetCash&lt;=0/missing; ",""))&amp;(IF(OR($J21="",$J21&lt;cfg_Liq_min),"Liquidity&lt;min/missing; ",""))))</f>
        <v/>
      </c>
      <c r="M21">
        <f>IF($A21="","",IF(OR($D21="",$E21="",Fundamentals!I21="",Fundamentals!K21="",$J21=""),1,0))</f>
        <v/>
      </c>
      <c r="N21">
        <f>Fundamentals!U21</f>
        <v/>
      </c>
    </row>
    <row r="22">
      <c r="A22">
        <f>Fundamentals!A22</f>
        <v/>
      </c>
      <c r="B22">
        <f>Fundamentals!B22</f>
        <v/>
      </c>
      <c r="C22">
        <f>Fundamentals!C22</f>
        <v/>
      </c>
      <c r="D22" s="15">
        <f>Fundamentals!G22</f>
        <v/>
      </c>
      <c r="E22" s="15">
        <f>Fundamentals!H22</f>
        <v/>
      </c>
      <c r="F22" s="16">
        <f>IF(OR($D22="",$E22="",$E22=0),"",$D22/$E22)</f>
        <v/>
      </c>
      <c r="G22" s="15">
        <f>IF(OR(Fundamentals!I22="",Fundamentals!J22="",Fundamentals!K22=""),"",Fundamentals!I22+Fundamentals!J22-Fundamentals!K22)</f>
        <v/>
      </c>
      <c r="H22" s="17">
        <f>IF(OR($G22="",$D22="",$D22=0),"",$G22/$D22)</f>
        <v/>
      </c>
      <c r="I22" s="17">
        <f>IF(OR(Fundamentals!L22="",$E22="",$E22=0),"",Fundamentals!L22/$E22)</f>
        <v/>
      </c>
      <c r="J22" s="15">
        <f>Fundamentals!O22</f>
        <v/>
      </c>
      <c r="K22">
        <f>IF(OR($A22=""),"",IF(AND($C22&lt;&gt;"Growth",$F22&lt;&gt;"",$F22&lt;cfg_PBR_max,$G22&lt;&gt;"",$G22&gt;0,$J22&lt;&gt;"",$J22&gt;=cfg_Liq_min),1,0))</f>
        <v/>
      </c>
      <c r="L22">
        <f>IF($K22="","",IF($K22=1,"",(IF($C22="Growth","Market=Growth; ",""))&amp;(IF(OR($F22="",$F22&gt;=cfg_PBR_max),"PBR&gt;=max/missing; ",""))&amp;(IF(OR($G22="",$G22&lt;=0),"NetCash&lt;=0/missing; ",""))&amp;(IF(OR($J22="",$J22&lt;cfg_Liq_min),"Liquidity&lt;min/missing; ",""))))</f>
        <v/>
      </c>
      <c r="M22">
        <f>IF($A22="","",IF(OR($D22="",$E22="",Fundamentals!I22="",Fundamentals!K22="",$J22=""),1,0))</f>
        <v/>
      </c>
      <c r="N22">
        <f>Fundamentals!U22</f>
        <v/>
      </c>
    </row>
    <row r="23">
      <c r="A23">
        <f>Fundamentals!A23</f>
        <v/>
      </c>
      <c r="B23">
        <f>Fundamentals!B23</f>
        <v/>
      </c>
      <c r="C23">
        <f>Fundamentals!C23</f>
        <v/>
      </c>
      <c r="D23" s="15">
        <f>Fundamentals!G23</f>
        <v/>
      </c>
      <c r="E23" s="15">
        <f>Fundamentals!H23</f>
        <v/>
      </c>
      <c r="F23" s="16">
        <f>IF(OR($D23="",$E23="",$E23=0),"",$D23/$E23)</f>
        <v/>
      </c>
      <c r="G23" s="15">
        <f>IF(OR(Fundamentals!I23="",Fundamentals!J23="",Fundamentals!K23=""),"",Fundamentals!I23+Fundamentals!J23-Fundamentals!K23)</f>
        <v/>
      </c>
      <c r="H23" s="17">
        <f>IF(OR($G23="",$D23="",$D23=0),"",$G23/$D23)</f>
        <v/>
      </c>
      <c r="I23" s="17">
        <f>IF(OR(Fundamentals!L23="",$E23="",$E23=0),"",Fundamentals!L23/$E23)</f>
        <v/>
      </c>
      <c r="J23" s="15">
        <f>Fundamentals!O23</f>
        <v/>
      </c>
      <c r="K23">
        <f>IF(OR($A23=""),"",IF(AND($C23&lt;&gt;"Growth",$F23&lt;&gt;"",$F23&lt;cfg_PBR_max,$G23&lt;&gt;"",$G23&gt;0,$J23&lt;&gt;"",$J23&gt;=cfg_Liq_min),1,0))</f>
        <v/>
      </c>
      <c r="L23">
        <f>IF($K23="","",IF($K23=1,"",(IF($C23="Growth","Market=Growth; ",""))&amp;(IF(OR($F23="",$F23&gt;=cfg_PBR_max),"PBR&gt;=max/missing; ",""))&amp;(IF(OR($G23="",$G23&lt;=0),"NetCash&lt;=0/missing; ",""))&amp;(IF(OR($J23="",$J23&lt;cfg_Liq_min),"Liquidity&lt;min/missing; ",""))))</f>
        <v/>
      </c>
      <c r="M23">
        <f>IF($A23="","",IF(OR($D23="",$E23="",Fundamentals!I23="",Fundamentals!K23="",$J23=""),1,0))</f>
        <v/>
      </c>
      <c r="N23">
        <f>Fundamentals!U23</f>
        <v/>
      </c>
    </row>
    <row r="24">
      <c r="A24">
        <f>Fundamentals!A24</f>
        <v/>
      </c>
      <c r="B24">
        <f>Fundamentals!B24</f>
        <v/>
      </c>
      <c r="C24">
        <f>Fundamentals!C24</f>
        <v/>
      </c>
      <c r="D24" s="15">
        <f>Fundamentals!G24</f>
        <v/>
      </c>
      <c r="E24" s="15">
        <f>Fundamentals!H24</f>
        <v/>
      </c>
      <c r="F24" s="16">
        <f>IF(OR($D24="",$E24="",$E24=0),"",$D24/$E24)</f>
        <v/>
      </c>
      <c r="G24" s="15">
        <f>IF(OR(Fundamentals!I24="",Fundamentals!J24="",Fundamentals!K24=""),"",Fundamentals!I24+Fundamentals!J24-Fundamentals!K24)</f>
        <v/>
      </c>
      <c r="H24" s="17">
        <f>IF(OR($G24="",$D24="",$D24=0),"",$G24/$D24)</f>
        <v/>
      </c>
      <c r="I24" s="17">
        <f>IF(OR(Fundamentals!L24="",$E24="",$E24=0),"",Fundamentals!L24/$E24)</f>
        <v/>
      </c>
      <c r="J24" s="15">
        <f>Fundamentals!O24</f>
        <v/>
      </c>
      <c r="K24">
        <f>IF(OR($A24=""),"",IF(AND($C24&lt;&gt;"Growth",$F24&lt;&gt;"",$F24&lt;cfg_PBR_max,$G24&lt;&gt;"",$G24&gt;0,$J24&lt;&gt;"",$J24&gt;=cfg_Liq_min),1,0))</f>
        <v/>
      </c>
      <c r="L24">
        <f>IF($K24="","",IF($K24=1,"",(IF($C24="Growth","Market=Growth; ",""))&amp;(IF(OR($F24="",$F24&gt;=cfg_PBR_max),"PBR&gt;=max/missing; ",""))&amp;(IF(OR($G24="",$G24&lt;=0),"NetCash&lt;=0/missing; ",""))&amp;(IF(OR($J24="",$J24&lt;cfg_Liq_min),"Liquidity&lt;min/missing; ",""))))</f>
        <v/>
      </c>
      <c r="M24">
        <f>IF($A24="","",IF(OR($D24="",$E24="",Fundamentals!I24="",Fundamentals!K24="",$J24=""),1,0))</f>
        <v/>
      </c>
      <c r="N24">
        <f>Fundamentals!U24</f>
        <v/>
      </c>
    </row>
    <row r="25">
      <c r="A25">
        <f>Fundamentals!A25</f>
        <v/>
      </c>
      <c r="B25">
        <f>Fundamentals!B25</f>
        <v/>
      </c>
      <c r="C25">
        <f>Fundamentals!C25</f>
        <v/>
      </c>
      <c r="D25" s="15">
        <f>Fundamentals!G25</f>
        <v/>
      </c>
      <c r="E25" s="15">
        <f>Fundamentals!H25</f>
        <v/>
      </c>
      <c r="F25" s="16">
        <f>IF(OR($D25="",$E25="",$E25=0),"",$D25/$E25)</f>
        <v/>
      </c>
      <c r="G25" s="15">
        <f>IF(OR(Fundamentals!I25="",Fundamentals!J25="",Fundamentals!K25=""),"",Fundamentals!I25+Fundamentals!J25-Fundamentals!K25)</f>
        <v/>
      </c>
      <c r="H25" s="17">
        <f>IF(OR($G25="",$D25="",$D25=0),"",$G25/$D25)</f>
        <v/>
      </c>
      <c r="I25" s="17">
        <f>IF(OR(Fundamentals!L25="",$E25="",$E25=0),"",Fundamentals!L25/$E25)</f>
        <v/>
      </c>
      <c r="J25" s="15">
        <f>Fundamentals!O25</f>
        <v/>
      </c>
      <c r="K25">
        <f>IF(OR($A25=""),"",IF(AND($C25&lt;&gt;"Growth",$F25&lt;&gt;"",$F25&lt;cfg_PBR_max,$G25&lt;&gt;"",$G25&gt;0,$J25&lt;&gt;"",$J25&gt;=cfg_Liq_min),1,0))</f>
        <v/>
      </c>
      <c r="L25">
        <f>IF($K25="","",IF($K25=1,"",(IF($C25="Growth","Market=Growth; ",""))&amp;(IF(OR($F25="",$F25&gt;=cfg_PBR_max),"PBR&gt;=max/missing; ",""))&amp;(IF(OR($G25="",$G25&lt;=0),"NetCash&lt;=0/missing; ",""))&amp;(IF(OR($J25="",$J25&lt;cfg_Liq_min),"Liquidity&lt;min/missing; ",""))))</f>
        <v/>
      </c>
      <c r="M25">
        <f>IF($A25="","",IF(OR($D25="",$E25="",Fundamentals!I25="",Fundamentals!K25="",$J25=""),1,0))</f>
        <v/>
      </c>
      <c r="N25">
        <f>Fundamentals!U25</f>
        <v/>
      </c>
    </row>
    <row r="26">
      <c r="A26">
        <f>Fundamentals!A26</f>
        <v/>
      </c>
      <c r="B26">
        <f>Fundamentals!B26</f>
        <v/>
      </c>
      <c r="C26">
        <f>Fundamentals!C26</f>
        <v/>
      </c>
      <c r="D26" s="15">
        <f>Fundamentals!G26</f>
        <v/>
      </c>
      <c r="E26" s="15">
        <f>Fundamentals!H26</f>
        <v/>
      </c>
      <c r="F26" s="16">
        <f>IF(OR($D26="",$E26="",$E26=0),"",$D26/$E26)</f>
        <v/>
      </c>
      <c r="G26" s="15">
        <f>IF(OR(Fundamentals!I26="",Fundamentals!J26="",Fundamentals!K26=""),"",Fundamentals!I26+Fundamentals!J26-Fundamentals!K26)</f>
        <v/>
      </c>
      <c r="H26" s="17">
        <f>IF(OR($G26="",$D26="",$D26=0),"",$G26/$D26)</f>
        <v/>
      </c>
      <c r="I26" s="17">
        <f>IF(OR(Fundamentals!L26="",$E26="",$E26=0),"",Fundamentals!L26/$E26)</f>
        <v/>
      </c>
      <c r="J26" s="15">
        <f>Fundamentals!O26</f>
        <v/>
      </c>
      <c r="K26">
        <f>IF(OR($A26=""),"",IF(AND($C26&lt;&gt;"Growth",$F26&lt;&gt;"",$F26&lt;cfg_PBR_max,$G26&lt;&gt;"",$G26&gt;0,$J26&lt;&gt;"",$J26&gt;=cfg_Liq_min),1,0))</f>
        <v/>
      </c>
      <c r="L26">
        <f>IF($K26="","",IF($K26=1,"",(IF($C26="Growth","Market=Growth; ",""))&amp;(IF(OR($F26="",$F26&gt;=cfg_PBR_max),"PBR&gt;=max/missing; ",""))&amp;(IF(OR($G26="",$G26&lt;=0),"NetCash&lt;=0/missing; ",""))&amp;(IF(OR($J26="",$J26&lt;cfg_Liq_min),"Liquidity&lt;min/missing; ",""))))</f>
        <v/>
      </c>
      <c r="M26">
        <f>IF($A26="","",IF(OR($D26="",$E26="",Fundamentals!I26="",Fundamentals!K26="",$J26=""),1,0))</f>
        <v/>
      </c>
      <c r="N26">
        <f>Fundamentals!U26</f>
        <v/>
      </c>
    </row>
    <row r="27">
      <c r="A27">
        <f>Fundamentals!A27</f>
        <v/>
      </c>
      <c r="B27">
        <f>Fundamentals!B27</f>
        <v/>
      </c>
      <c r="C27">
        <f>Fundamentals!C27</f>
        <v/>
      </c>
      <c r="D27" s="15">
        <f>Fundamentals!G27</f>
        <v/>
      </c>
      <c r="E27" s="15">
        <f>Fundamentals!H27</f>
        <v/>
      </c>
      <c r="F27" s="16">
        <f>IF(OR($D27="",$E27="",$E27=0),"",$D27/$E27)</f>
        <v/>
      </c>
      <c r="G27" s="15">
        <f>IF(OR(Fundamentals!I27="",Fundamentals!J27="",Fundamentals!K27=""),"",Fundamentals!I27+Fundamentals!J27-Fundamentals!K27)</f>
        <v/>
      </c>
      <c r="H27" s="17">
        <f>IF(OR($G27="",$D27="",$D27=0),"",$G27/$D27)</f>
        <v/>
      </c>
      <c r="I27" s="17">
        <f>IF(OR(Fundamentals!L27="",$E27="",$E27=0),"",Fundamentals!L27/$E27)</f>
        <v/>
      </c>
      <c r="J27" s="15">
        <f>Fundamentals!O27</f>
        <v/>
      </c>
      <c r="K27">
        <f>IF(OR($A27=""),"",IF(AND($C27&lt;&gt;"Growth",$F27&lt;&gt;"",$F27&lt;cfg_PBR_max,$G27&lt;&gt;"",$G27&gt;0,$J27&lt;&gt;"",$J27&gt;=cfg_Liq_min),1,0))</f>
        <v/>
      </c>
      <c r="L27">
        <f>IF($K27="","",IF($K27=1,"",(IF($C27="Growth","Market=Growth; ",""))&amp;(IF(OR($F27="",$F27&gt;=cfg_PBR_max),"PBR&gt;=max/missing; ",""))&amp;(IF(OR($G27="",$G27&lt;=0),"NetCash&lt;=0/missing; ",""))&amp;(IF(OR($J27="",$J27&lt;cfg_Liq_min),"Liquidity&lt;min/missing; ",""))))</f>
        <v/>
      </c>
      <c r="M27">
        <f>IF($A27="","",IF(OR($D27="",$E27="",Fundamentals!I27="",Fundamentals!K27="",$J27=""),1,0))</f>
        <v/>
      </c>
      <c r="N27">
        <f>Fundamentals!U27</f>
        <v/>
      </c>
    </row>
    <row r="28">
      <c r="A28">
        <f>Fundamentals!A28</f>
        <v/>
      </c>
      <c r="B28">
        <f>Fundamentals!B28</f>
        <v/>
      </c>
      <c r="C28">
        <f>Fundamentals!C28</f>
        <v/>
      </c>
      <c r="D28" s="15">
        <f>Fundamentals!G28</f>
        <v/>
      </c>
      <c r="E28" s="15">
        <f>Fundamentals!H28</f>
        <v/>
      </c>
      <c r="F28" s="16">
        <f>IF(OR($D28="",$E28="",$E28=0),"",$D28/$E28)</f>
        <v/>
      </c>
      <c r="G28" s="15">
        <f>IF(OR(Fundamentals!I28="",Fundamentals!J28="",Fundamentals!K28=""),"",Fundamentals!I28+Fundamentals!J28-Fundamentals!K28)</f>
        <v/>
      </c>
      <c r="H28" s="17">
        <f>IF(OR($G28="",$D28="",$D28=0),"",$G28/$D28)</f>
        <v/>
      </c>
      <c r="I28" s="17">
        <f>IF(OR(Fundamentals!L28="",$E28="",$E28=0),"",Fundamentals!L28/$E28)</f>
        <v/>
      </c>
      <c r="J28" s="15">
        <f>Fundamentals!O28</f>
        <v/>
      </c>
      <c r="K28">
        <f>IF(OR($A28=""),"",IF(AND($C28&lt;&gt;"Growth",$F28&lt;&gt;"",$F28&lt;cfg_PBR_max,$G28&lt;&gt;"",$G28&gt;0,$J28&lt;&gt;"",$J28&gt;=cfg_Liq_min),1,0))</f>
        <v/>
      </c>
      <c r="L28">
        <f>IF($K28="","",IF($K28=1,"",(IF($C28="Growth","Market=Growth; ",""))&amp;(IF(OR($F28="",$F28&gt;=cfg_PBR_max),"PBR&gt;=max/missing; ",""))&amp;(IF(OR($G28="",$G28&lt;=0),"NetCash&lt;=0/missing; ",""))&amp;(IF(OR($J28="",$J28&lt;cfg_Liq_min),"Liquidity&lt;min/missing; ",""))))</f>
        <v/>
      </c>
      <c r="M28">
        <f>IF($A28="","",IF(OR($D28="",$E28="",Fundamentals!I28="",Fundamentals!K28="",$J28=""),1,0))</f>
        <v/>
      </c>
      <c r="N28">
        <f>Fundamentals!U28</f>
        <v/>
      </c>
    </row>
    <row r="29">
      <c r="A29">
        <f>Fundamentals!A29</f>
        <v/>
      </c>
      <c r="B29">
        <f>Fundamentals!B29</f>
        <v/>
      </c>
      <c r="C29">
        <f>Fundamentals!C29</f>
        <v/>
      </c>
      <c r="D29" s="15">
        <f>Fundamentals!G29</f>
        <v/>
      </c>
      <c r="E29" s="15">
        <f>Fundamentals!H29</f>
        <v/>
      </c>
      <c r="F29" s="16">
        <f>IF(OR($D29="",$E29="",$E29=0),"",$D29/$E29)</f>
        <v/>
      </c>
      <c r="G29" s="15">
        <f>IF(OR(Fundamentals!I29="",Fundamentals!J29="",Fundamentals!K29=""),"",Fundamentals!I29+Fundamentals!J29-Fundamentals!K29)</f>
        <v/>
      </c>
      <c r="H29" s="17">
        <f>IF(OR($G29="",$D29="",$D29=0),"",$G29/$D29)</f>
        <v/>
      </c>
      <c r="I29" s="17">
        <f>IF(OR(Fundamentals!L29="",$E29="",$E29=0),"",Fundamentals!L29/$E29)</f>
        <v/>
      </c>
      <c r="J29" s="15">
        <f>Fundamentals!O29</f>
        <v/>
      </c>
      <c r="K29">
        <f>IF(OR($A29=""),"",IF(AND($C29&lt;&gt;"Growth",$F29&lt;&gt;"",$F29&lt;cfg_PBR_max,$G29&lt;&gt;"",$G29&gt;0,$J29&lt;&gt;"",$J29&gt;=cfg_Liq_min),1,0))</f>
        <v/>
      </c>
      <c r="L29">
        <f>IF($K29="","",IF($K29=1,"",(IF($C29="Growth","Market=Growth; ",""))&amp;(IF(OR($F29="",$F29&gt;=cfg_PBR_max),"PBR&gt;=max/missing; ",""))&amp;(IF(OR($G29="",$G29&lt;=0),"NetCash&lt;=0/missing; ",""))&amp;(IF(OR($J29="",$J29&lt;cfg_Liq_min),"Liquidity&lt;min/missing; ",""))))</f>
        <v/>
      </c>
      <c r="M29">
        <f>IF($A29="","",IF(OR($D29="",$E29="",Fundamentals!I29="",Fundamentals!K29="",$J29=""),1,0))</f>
        <v/>
      </c>
      <c r="N29">
        <f>Fundamentals!U29</f>
        <v/>
      </c>
    </row>
    <row r="30">
      <c r="A30">
        <f>Fundamentals!A30</f>
        <v/>
      </c>
      <c r="B30">
        <f>Fundamentals!B30</f>
        <v/>
      </c>
      <c r="C30">
        <f>Fundamentals!C30</f>
        <v/>
      </c>
      <c r="D30" s="15">
        <f>Fundamentals!G30</f>
        <v/>
      </c>
      <c r="E30" s="15">
        <f>Fundamentals!H30</f>
        <v/>
      </c>
      <c r="F30" s="16">
        <f>IF(OR($D30="",$E30="",$E30=0),"",$D30/$E30)</f>
        <v/>
      </c>
      <c r="G30" s="15">
        <f>IF(OR(Fundamentals!I30="",Fundamentals!J30="",Fundamentals!K30=""),"",Fundamentals!I30+Fundamentals!J30-Fundamentals!K30)</f>
        <v/>
      </c>
      <c r="H30" s="17">
        <f>IF(OR($G30="",$D30="",$D30=0),"",$G30/$D30)</f>
        <v/>
      </c>
      <c r="I30" s="17">
        <f>IF(OR(Fundamentals!L30="",$E30="",$E30=0),"",Fundamentals!L30/$E30)</f>
        <v/>
      </c>
      <c r="J30" s="15">
        <f>Fundamentals!O30</f>
        <v/>
      </c>
      <c r="K30">
        <f>IF(OR($A30=""),"",IF(AND($C30&lt;&gt;"Growth",$F30&lt;&gt;"",$F30&lt;cfg_PBR_max,$G30&lt;&gt;"",$G30&gt;0,$J30&lt;&gt;"",$J30&gt;=cfg_Liq_min),1,0))</f>
        <v/>
      </c>
      <c r="L30">
        <f>IF($K30="","",IF($K30=1,"",(IF($C30="Growth","Market=Growth; ",""))&amp;(IF(OR($F30="",$F30&gt;=cfg_PBR_max),"PBR&gt;=max/missing; ",""))&amp;(IF(OR($G30="",$G30&lt;=0),"NetCash&lt;=0/missing; ",""))&amp;(IF(OR($J30="",$J30&lt;cfg_Liq_min),"Liquidity&lt;min/missing; ",""))))</f>
        <v/>
      </c>
      <c r="M30">
        <f>IF($A30="","",IF(OR($D30="",$E30="",Fundamentals!I30="",Fundamentals!K30="",$J30=""),1,0))</f>
        <v/>
      </c>
      <c r="N30">
        <f>Fundamentals!U30</f>
        <v/>
      </c>
    </row>
    <row r="31">
      <c r="A31">
        <f>Fundamentals!A31</f>
        <v/>
      </c>
      <c r="B31">
        <f>Fundamentals!B31</f>
        <v/>
      </c>
      <c r="C31">
        <f>Fundamentals!C31</f>
        <v/>
      </c>
      <c r="D31" s="15">
        <f>Fundamentals!G31</f>
        <v/>
      </c>
      <c r="E31" s="15">
        <f>Fundamentals!H31</f>
        <v/>
      </c>
      <c r="F31" s="16">
        <f>IF(OR($D31="",$E31="",$E31=0),"",$D31/$E31)</f>
        <v/>
      </c>
      <c r="G31" s="15">
        <f>IF(OR(Fundamentals!I31="",Fundamentals!J31="",Fundamentals!K31=""),"",Fundamentals!I31+Fundamentals!J31-Fundamentals!K31)</f>
        <v/>
      </c>
      <c r="H31" s="17">
        <f>IF(OR($G31="",$D31="",$D31=0),"",$G31/$D31)</f>
        <v/>
      </c>
      <c r="I31" s="17">
        <f>IF(OR(Fundamentals!L31="",$E31="",$E31=0),"",Fundamentals!L31/$E31)</f>
        <v/>
      </c>
      <c r="J31" s="15">
        <f>Fundamentals!O31</f>
        <v/>
      </c>
      <c r="K31">
        <f>IF(OR($A31=""),"",IF(AND($C31&lt;&gt;"Growth",$F31&lt;&gt;"",$F31&lt;cfg_PBR_max,$G31&lt;&gt;"",$G31&gt;0,$J31&lt;&gt;"",$J31&gt;=cfg_Liq_min),1,0))</f>
        <v/>
      </c>
      <c r="L31">
        <f>IF($K31="","",IF($K31=1,"",(IF($C31="Growth","Market=Growth; ",""))&amp;(IF(OR($F31="",$F31&gt;=cfg_PBR_max),"PBR&gt;=max/missing; ",""))&amp;(IF(OR($G31="",$G31&lt;=0),"NetCash&lt;=0/missing; ",""))&amp;(IF(OR($J31="",$J31&lt;cfg_Liq_min),"Liquidity&lt;min/missing; ",""))))</f>
        <v/>
      </c>
      <c r="M31">
        <f>IF($A31="","",IF(OR($D31="",$E31="",Fundamentals!I31="",Fundamentals!K31="",$J31=""),1,0))</f>
        <v/>
      </c>
      <c r="N31">
        <f>Fundamentals!U31</f>
        <v/>
      </c>
    </row>
    <row r="32">
      <c r="A32">
        <f>Fundamentals!A32</f>
        <v/>
      </c>
      <c r="B32">
        <f>Fundamentals!B32</f>
        <v/>
      </c>
      <c r="C32">
        <f>Fundamentals!C32</f>
        <v/>
      </c>
      <c r="D32" s="15">
        <f>Fundamentals!G32</f>
        <v/>
      </c>
      <c r="E32" s="15">
        <f>Fundamentals!H32</f>
        <v/>
      </c>
      <c r="F32" s="16">
        <f>IF(OR($D32="",$E32="",$E32=0),"",$D32/$E32)</f>
        <v/>
      </c>
      <c r="G32" s="15">
        <f>IF(OR(Fundamentals!I32="",Fundamentals!J32="",Fundamentals!K32=""),"",Fundamentals!I32+Fundamentals!J32-Fundamentals!K32)</f>
        <v/>
      </c>
      <c r="H32" s="17">
        <f>IF(OR($G32="",$D32="",$D32=0),"",$G32/$D32)</f>
        <v/>
      </c>
      <c r="I32" s="17">
        <f>IF(OR(Fundamentals!L32="",$E32="",$E32=0),"",Fundamentals!L32/$E32)</f>
        <v/>
      </c>
      <c r="J32" s="15">
        <f>Fundamentals!O32</f>
        <v/>
      </c>
      <c r="K32">
        <f>IF(OR($A32=""),"",IF(AND($C32&lt;&gt;"Growth",$F32&lt;&gt;"",$F32&lt;cfg_PBR_max,$G32&lt;&gt;"",$G32&gt;0,$J32&lt;&gt;"",$J32&gt;=cfg_Liq_min),1,0))</f>
        <v/>
      </c>
      <c r="L32">
        <f>IF($K32="","",IF($K32=1,"",(IF($C32="Growth","Market=Growth; ",""))&amp;(IF(OR($F32="",$F32&gt;=cfg_PBR_max),"PBR&gt;=max/missing; ",""))&amp;(IF(OR($G32="",$G32&lt;=0),"NetCash&lt;=0/missing; ",""))&amp;(IF(OR($J32="",$J32&lt;cfg_Liq_min),"Liquidity&lt;min/missing; ",""))))</f>
        <v/>
      </c>
      <c r="M32">
        <f>IF($A32="","",IF(OR($D32="",$E32="",Fundamentals!I32="",Fundamentals!K32="",$J32=""),1,0))</f>
        <v/>
      </c>
      <c r="N32">
        <f>Fundamentals!U32</f>
        <v/>
      </c>
    </row>
    <row r="33">
      <c r="A33">
        <f>Fundamentals!A33</f>
        <v/>
      </c>
      <c r="B33">
        <f>Fundamentals!B33</f>
        <v/>
      </c>
      <c r="C33">
        <f>Fundamentals!C33</f>
        <v/>
      </c>
      <c r="D33" s="15">
        <f>Fundamentals!G33</f>
        <v/>
      </c>
      <c r="E33" s="15">
        <f>Fundamentals!H33</f>
        <v/>
      </c>
      <c r="F33" s="16">
        <f>IF(OR($D33="",$E33="",$E33=0),"",$D33/$E33)</f>
        <v/>
      </c>
      <c r="G33" s="15">
        <f>IF(OR(Fundamentals!I33="",Fundamentals!J33="",Fundamentals!K33=""),"",Fundamentals!I33+Fundamentals!J33-Fundamentals!K33)</f>
        <v/>
      </c>
      <c r="H33" s="17">
        <f>IF(OR($G33="",$D33="",$D33=0),"",$G33/$D33)</f>
        <v/>
      </c>
      <c r="I33" s="17">
        <f>IF(OR(Fundamentals!L33="",$E33="",$E33=0),"",Fundamentals!L33/$E33)</f>
        <v/>
      </c>
      <c r="J33" s="15">
        <f>Fundamentals!O33</f>
        <v/>
      </c>
      <c r="K33">
        <f>IF(OR($A33=""),"",IF(AND($C33&lt;&gt;"Growth",$F33&lt;&gt;"",$F33&lt;cfg_PBR_max,$G33&lt;&gt;"",$G33&gt;0,$J33&lt;&gt;"",$J33&gt;=cfg_Liq_min),1,0))</f>
        <v/>
      </c>
      <c r="L33">
        <f>IF($K33="","",IF($K33=1,"",(IF($C33="Growth","Market=Growth; ",""))&amp;(IF(OR($F33="",$F33&gt;=cfg_PBR_max),"PBR&gt;=max/missing; ",""))&amp;(IF(OR($G33="",$G33&lt;=0),"NetCash&lt;=0/missing; ",""))&amp;(IF(OR($J33="",$J33&lt;cfg_Liq_min),"Liquidity&lt;min/missing; ",""))))</f>
        <v/>
      </c>
      <c r="M33">
        <f>IF($A33="","",IF(OR($D33="",$E33="",Fundamentals!I33="",Fundamentals!K33="",$J33=""),1,0))</f>
        <v/>
      </c>
      <c r="N33">
        <f>Fundamentals!U33</f>
        <v/>
      </c>
    </row>
    <row r="34">
      <c r="A34">
        <f>Fundamentals!A34</f>
        <v/>
      </c>
      <c r="B34">
        <f>Fundamentals!B34</f>
        <v/>
      </c>
      <c r="C34">
        <f>Fundamentals!C34</f>
        <v/>
      </c>
      <c r="D34" s="15">
        <f>Fundamentals!G34</f>
        <v/>
      </c>
      <c r="E34" s="15">
        <f>Fundamentals!H34</f>
        <v/>
      </c>
      <c r="F34" s="16">
        <f>IF(OR($D34="",$E34="",$E34=0),"",$D34/$E34)</f>
        <v/>
      </c>
      <c r="G34" s="15">
        <f>IF(OR(Fundamentals!I34="",Fundamentals!J34="",Fundamentals!K34=""),"",Fundamentals!I34+Fundamentals!J34-Fundamentals!K34)</f>
        <v/>
      </c>
      <c r="H34" s="17">
        <f>IF(OR($G34="",$D34="",$D34=0),"",$G34/$D34)</f>
        <v/>
      </c>
      <c r="I34" s="17">
        <f>IF(OR(Fundamentals!L34="",$E34="",$E34=0),"",Fundamentals!L34/$E34)</f>
        <v/>
      </c>
      <c r="J34" s="15">
        <f>Fundamentals!O34</f>
        <v/>
      </c>
      <c r="K34">
        <f>IF(OR($A34=""),"",IF(AND($C34&lt;&gt;"Growth",$F34&lt;&gt;"",$F34&lt;cfg_PBR_max,$G34&lt;&gt;"",$G34&gt;0,$J34&lt;&gt;"",$J34&gt;=cfg_Liq_min),1,0))</f>
        <v/>
      </c>
      <c r="L34">
        <f>IF($K34="","",IF($K34=1,"",(IF($C34="Growth","Market=Growth; ",""))&amp;(IF(OR($F34="",$F34&gt;=cfg_PBR_max),"PBR&gt;=max/missing; ",""))&amp;(IF(OR($G34="",$G34&lt;=0),"NetCash&lt;=0/missing; ",""))&amp;(IF(OR($J34="",$J34&lt;cfg_Liq_min),"Liquidity&lt;min/missing; ",""))))</f>
        <v/>
      </c>
      <c r="M34">
        <f>IF($A34="","",IF(OR($D34="",$E34="",Fundamentals!I34="",Fundamentals!K34="",$J34=""),1,0))</f>
        <v/>
      </c>
      <c r="N34">
        <f>Fundamentals!U34</f>
        <v/>
      </c>
    </row>
    <row r="35">
      <c r="A35">
        <f>Fundamentals!A35</f>
        <v/>
      </c>
      <c r="B35">
        <f>Fundamentals!B35</f>
        <v/>
      </c>
      <c r="C35">
        <f>Fundamentals!C35</f>
        <v/>
      </c>
      <c r="D35" s="15">
        <f>Fundamentals!G35</f>
        <v/>
      </c>
      <c r="E35" s="15">
        <f>Fundamentals!H35</f>
        <v/>
      </c>
      <c r="F35" s="16">
        <f>IF(OR($D35="",$E35="",$E35=0),"",$D35/$E35)</f>
        <v/>
      </c>
      <c r="G35" s="15">
        <f>IF(OR(Fundamentals!I35="",Fundamentals!J35="",Fundamentals!K35=""),"",Fundamentals!I35+Fundamentals!J35-Fundamentals!K35)</f>
        <v/>
      </c>
      <c r="H35" s="17">
        <f>IF(OR($G35="",$D35="",$D35=0),"",$G35/$D35)</f>
        <v/>
      </c>
      <c r="I35" s="17">
        <f>IF(OR(Fundamentals!L35="",$E35="",$E35=0),"",Fundamentals!L35/$E35)</f>
        <v/>
      </c>
      <c r="J35" s="15">
        <f>Fundamentals!O35</f>
        <v/>
      </c>
      <c r="K35">
        <f>IF(OR($A35=""),"",IF(AND($C35&lt;&gt;"Growth",$F35&lt;&gt;"",$F35&lt;cfg_PBR_max,$G35&lt;&gt;"",$G35&gt;0,$J35&lt;&gt;"",$J35&gt;=cfg_Liq_min),1,0))</f>
        <v/>
      </c>
      <c r="L35">
        <f>IF($K35="","",IF($K35=1,"",(IF($C35="Growth","Market=Growth; ",""))&amp;(IF(OR($F35="",$F35&gt;=cfg_PBR_max),"PBR&gt;=max/missing; ",""))&amp;(IF(OR($G35="",$G35&lt;=0),"NetCash&lt;=0/missing; ",""))&amp;(IF(OR($J35="",$J35&lt;cfg_Liq_min),"Liquidity&lt;min/missing; ",""))))</f>
        <v/>
      </c>
      <c r="M35">
        <f>IF($A35="","",IF(OR($D35="",$E35="",Fundamentals!I35="",Fundamentals!K35="",$J35=""),1,0))</f>
        <v/>
      </c>
      <c r="N35">
        <f>Fundamentals!U35</f>
        <v/>
      </c>
    </row>
    <row r="36">
      <c r="A36">
        <f>Fundamentals!A36</f>
        <v/>
      </c>
      <c r="B36">
        <f>Fundamentals!B36</f>
        <v/>
      </c>
      <c r="C36">
        <f>Fundamentals!C36</f>
        <v/>
      </c>
      <c r="D36" s="15">
        <f>Fundamentals!G36</f>
        <v/>
      </c>
      <c r="E36" s="15">
        <f>Fundamentals!H36</f>
        <v/>
      </c>
      <c r="F36" s="16">
        <f>IF(OR($D36="",$E36="",$E36=0),"",$D36/$E36)</f>
        <v/>
      </c>
      <c r="G36" s="15">
        <f>IF(OR(Fundamentals!I36="",Fundamentals!J36="",Fundamentals!K36=""),"",Fundamentals!I36+Fundamentals!J36-Fundamentals!K36)</f>
        <v/>
      </c>
      <c r="H36" s="17">
        <f>IF(OR($G36="",$D36="",$D36=0),"",$G36/$D36)</f>
        <v/>
      </c>
      <c r="I36" s="17">
        <f>IF(OR(Fundamentals!L36="",$E36="",$E36=0),"",Fundamentals!L36/$E36)</f>
        <v/>
      </c>
      <c r="J36" s="15">
        <f>Fundamentals!O36</f>
        <v/>
      </c>
      <c r="K36">
        <f>IF(OR($A36=""),"",IF(AND($C36&lt;&gt;"Growth",$F36&lt;&gt;"",$F36&lt;cfg_PBR_max,$G36&lt;&gt;"",$G36&gt;0,$J36&lt;&gt;"",$J36&gt;=cfg_Liq_min),1,0))</f>
        <v/>
      </c>
      <c r="L36">
        <f>IF($K36="","",IF($K36=1,"",(IF($C36="Growth","Market=Growth; ",""))&amp;(IF(OR($F36="",$F36&gt;=cfg_PBR_max),"PBR&gt;=max/missing; ",""))&amp;(IF(OR($G36="",$G36&lt;=0),"NetCash&lt;=0/missing; ",""))&amp;(IF(OR($J36="",$J36&lt;cfg_Liq_min),"Liquidity&lt;min/missing; ",""))))</f>
        <v/>
      </c>
      <c r="M36">
        <f>IF($A36="","",IF(OR($D36="",$E36="",Fundamentals!I36="",Fundamentals!K36="",$J36=""),1,0))</f>
        <v/>
      </c>
      <c r="N36">
        <f>Fundamentals!U36</f>
        <v/>
      </c>
    </row>
    <row r="37">
      <c r="A37">
        <f>Fundamentals!A37</f>
        <v/>
      </c>
      <c r="B37">
        <f>Fundamentals!B37</f>
        <v/>
      </c>
      <c r="C37">
        <f>Fundamentals!C37</f>
        <v/>
      </c>
      <c r="D37" s="15">
        <f>Fundamentals!G37</f>
        <v/>
      </c>
      <c r="E37" s="15">
        <f>Fundamentals!H37</f>
        <v/>
      </c>
      <c r="F37" s="16">
        <f>IF(OR($D37="",$E37="",$E37=0),"",$D37/$E37)</f>
        <v/>
      </c>
      <c r="G37" s="15">
        <f>IF(OR(Fundamentals!I37="",Fundamentals!J37="",Fundamentals!K37=""),"",Fundamentals!I37+Fundamentals!J37-Fundamentals!K37)</f>
        <v/>
      </c>
      <c r="H37" s="17">
        <f>IF(OR($G37="",$D37="",$D37=0),"",$G37/$D37)</f>
        <v/>
      </c>
      <c r="I37" s="17">
        <f>IF(OR(Fundamentals!L37="",$E37="",$E37=0),"",Fundamentals!L37/$E37)</f>
        <v/>
      </c>
      <c r="J37" s="15">
        <f>Fundamentals!O37</f>
        <v/>
      </c>
      <c r="K37">
        <f>IF(OR($A37=""),"",IF(AND($C37&lt;&gt;"Growth",$F37&lt;&gt;"",$F37&lt;cfg_PBR_max,$G37&lt;&gt;"",$G37&gt;0,$J37&lt;&gt;"",$J37&gt;=cfg_Liq_min),1,0))</f>
        <v/>
      </c>
      <c r="L37">
        <f>IF($K37="","",IF($K37=1,"",(IF($C37="Growth","Market=Growth; ",""))&amp;(IF(OR($F37="",$F37&gt;=cfg_PBR_max),"PBR&gt;=max/missing; ",""))&amp;(IF(OR($G37="",$G37&lt;=0),"NetCash&lt;=0/missing; ",""))&amp;(IF(OR($J37="",$J37&lt;cfg_Liq_min),"Liquidity&lt;min/missing; ",""))))</f>
        <v/>
      </c>
      <c r="M37">
        <f>IF($A37="","",IF(OR($D37="",$E37="",Fundamentals!I37="",Fundamentals!K37="",$J37=""),1,0))</f>
        <v/>
      </c>
      <c r="N37">
        <f>Fundamentals!U37</f>
        <v/>
      </c>
    </row>
    <row r="38">
      <c r="A38">
        <f>Fundamentals!A38</f>
        <v/>
      </c>
      <c r="B38">
        <f>Fundamentals!B38</f>
        <v/>
      </c>
      <c r="C38">
        <f>Fundamentals!C38</f>
        <v/>
      </c>
      <c r="D38" s="15">
        <f>Fundamentals!G38</f>
        <v/>
      </c>
      <c r="E38" s="15">
        <f>Fundamentals!H38</f>
        <v/>
      </c>
      <c r="F38" s="16">
        <f>IF(OR($D38="",$E38="",$E38=0),"",$D38/$E38)</f>
        <v/>
      </c>
      <c r="G38" s="15">
        <f>IF(OR(Fundamentals!I38="",Fundamentals!J38="",Fundamentals!K38=""),"",Fundamentals!I38+Fundamentals!J38-Fundamentals!K38)</f>
        <v/>
      </c>
      <c r="H38" s="17">
        <f>IF(OR($G38="",$D38="",$D38=0),"",$G38/$D38)</f>
        <v/>
      </c>
      <c r="I38" s="17">
        <f>IF(OR(Fundamentals!L38="",$E38="",$E38=0),"",Fundamentals!L38/$E38)</f>
        <v/>
      </c>
      <c r="J38" s="15">
        <f>Fundamentals!O38</f>
        <v/>
      </c>
      <c r="K38">
        <f>IF(OR($A38=""),"",IF(AND($C38&lt;&gt;"Growth",$F38&lt;&gt;"",$F38&lt;cfg_PBR_max,$G38&lt;&gt;"",$G38&gt;0,$J38&lt;&gt;"",$J38&gt;=cfg_Liq_min),1,0))</f>
        <v/>
      </c>
      <c r="L38">
        <f>IF($K38="","",IF($K38=1,"",(IF($C38="Growth","Market=Growth; ",""))&amp;(IF(OR($F38="",$F38&gt;=cfg_PBR_max),"PBR&gt;=max/missing; ",""))&amp;(IF(OR($G38="",$G38&lt;=0),"NetCash&lt;=0/missing; ",""))&amp;(IF(OR($J38="",$J38&lt;cfg_Liq_min),"Liquidity&lt;min/missing; ",""))))</f>
        <v/>
      </c>
      <c r="M38">
        <f>IF($A38="","",IF(OR($D38="",$E38="",Fundamentals!I38="",Fundamentals!K38="",$J38=""),1,0))</f>
        <v/>
      </c>
      <c r="N38">
        <f>Fundamentals!U38</f>
        <v/>
      </c>
    </row>
    <row r="39">
      <c r="A39">
        <f>Fundamentals!A39</f>
        <v/>
      </c>
      <c r="B39">
        <f>Fundamentals!B39</f>
        <v/>
      </c>
      <c r="C39">
        <f>Fundamentals!C39</f>
        <v/>
      </c>
      <c r="D39" s="15">
        <f>Fundamentals!G39</f>
        <v/>
      </c>
      <c r="E39" s="15">
        <f>Fundamentals!H39</f>
        <v/>
      </c>
      <c r="F39" s="16">
        <f>IF(OR($D39="",$E39="",$E39=0),"",$D39/$E39)</f>
        <v/>
      </c>
      <c r="G39" s="15">
        <f>IF(OR(Fundamentals!I39="",Fundamentals!J39="",Fundamentals!K39=""),"",Fundamentals!I39+Fundamentals!J39-Fundamentals!K39)</f>
        <v/>
      </c>
      <c r="H39" s="17">
        <f>IF(OR($G39="",$D39="",$D39=0),"",$G39/$D39)</f>
        <v/>
      </c>
      <c r="I39" s="17">
        <f>IF(OR(Fundamentals!L39="",$E39="",$E39=0),"",Fundamentals!L39/$E39)</f>
        <v/>
      </c>
      <c r="J39" s="15">
        <f>Fundamentals!O39</f>
        <v/>
      </c>
      <c r="K39">
        <f>IF(OR($A39=""),"",IF(AND($C39&lt;&gt;"Growth",$F39&lt;&gt;"",$F39&lt;cfg_PBR_max,$G39&lt;&gt;"",$G39&gt;0,$J39&lt;&gt;"",$J39&gt;=cfg_Liq_min),1,0))</f>
        <v/>
      </c>
      <c r="L39">
        <f>IF($K39="","",IF($K39=1,"",(IF($C39="Growth","Market=Growth; ",""))&amp;(IF(OR($F39="",$F39&gt;=cfg_PBR_max),"PBR&gt;=max/missing; ",""))&amp;(IF(OR($G39="",$G39&lt;=0),"NetCash&lt;=0/missing; ",""))&amp;(IF(OR($J39="",$J39&lt;cfg_Liq_min),"Liquidity&lt;min/missing; ",""))))</f>
        <v/>
      </c>
      <c r="M39">
        <f>IF($A39="","",IF(OR($D39="",$E39="",Fundamentals!I39="",Fundamentals!K39="",$J39=""),1,0))</f>
        <v/>
      </c>
      <c r="N39">
        <f>Fundamentals!U39</f>
        <v/>
      </c>
    </row>
    <row r="40">
      <c r="A40">
        <f>Fundamentals!A40</f>
        <v/>
      </c>
      <c r="B40">
        <f>Fundamentals!B40</f>
        <v/>
      </c>
      <c r="C40">
        <f>Fundamentals!C40</f>
        <v/>
      </c>
      <c r="D40" s="15">
        <f>Fundamentals!G40</f>
        <v/>
      </c>
      <c r="E40" s="15">
        <f>Fundamentals!H40</f>
        <v/>
      </c>
      <c r="F40" s="16">
        <f>IF(OR($D40="",$E40="",$E40=0),"",$D40/$E40)</f>
        <v/>
      </c>
      <c r="G40" s="15">
        <f>IF(OR(Fundamentals!I40="",Fundamentals!J40="",Fundamentals!K40=""),"",Fundamentals!I40+Fundamentals!J40-Fundamentals!K40)</f>
        <v/>
      </c>
      <c r="H40" s="17">
        <f>IF(OR($G40="",$D40="",$D40=0),"",$G40/$D40)</f>
        <v/>
      </c>
      <c r="I40" s="17">
        <f>IF(OR(Fundamentals!L40="",$E40="",$E40=0),"",Fundamentals!L40/$E40)</f>
        <v/>
      </c>
      <c r="J40" s="15">
        <f>Fundamentals!O40</f>
        <v/>
      </c>
      <c r="K40">
        <f>IF(OR($A40=""),"",IF(AND($C40&lt;&gt;"Growth",$F40&lt;&gt;"",$F40&lt;cfg_PBR_max,$G40&lt;&gt;"",$G40&gt;0,$J40&lt;&gt;"",$J40&gt;=cfg_Liq_min),1,0))</f>
        <v/>
      </c>
      <c r="L40">
        <f>IF($K40="","",IF($K40=1,"",(IF($C40="Growth","Market=Growth; ",""))&amp;(IF(OR($F40="",$F40&gt;=cfg_PBR_max),"PBR&gt;=max/missing; ",""))&amp;(IF(OR($G40="",$G40&lt;=0),"NetCash&lt;=0/missing; ",""))&amp;(IF(OR($J40="",$J40&lt;cfg_Liq_min),"Liquidity&lt;min/missing; ",""))))</f>
        <v/>
      </c>
      <c r="M40">
        <f>IF($A40="","",IF(OR($D40="",$E40="",Fundamentals!I40="",Fundamentals!K40="",$J40=""),1,0))</f>
        <v/>
      </c>
      <c r="N40">
        <f>Fundamentals!U40</f>
        <v/>
      </c>
    </row>
    <row r="41">
      <c r="A41">
        <f>Fundamentals!A41</f>
        <v/>
      </c>
      <c r="B41">
        <f>Fundamentals!B41</f>
        <v/>
      </c>
      <c r="C41">
        <f>Fundamentals!C41</f>
        <v/>
      </c>
      <c r="D41" s="15">
        <f>Fundamentals!G41</f>
        <v/>
      </c>
      <c r="E41" s="15">
        <f>Fundamentals!H41</f>
        <v/>
      </c>
      <c r="F41" s="16">
        <f>IF(OR($D41="",$E41="",$E41=0),"",$D41/$E41)</f>
        <v/>
      </c>
      <c r="G41" s="15">
        <f>IF(OR(Fundamentals!I41="",Fundamentals!J41="",Fundamentals!K41=""),"",Fundamentals!I41+Fundamentals!J41-Fundamentals!K41)</f>
        <v/>
      </c>
      <c r="H41" s="17">
        <f>IF(OR($G41="",$D41="",$D41=0),"",$G41/$D41)</f>
        <v/>
      </c>
      <c r="I41" s="17">
        <f>IF(OR(Fundamentals!L41="",$E41="",$E41=0),"",Fundamentals!L41/$E41)</f>
        <v/>
      </c>
      <c r="J41" s="15">
        <f>Fundamentals!O41</f>
        <v/>
      </c>
      <c r="K41">
        <f>IF(OR($A41=""),"",IF(AND($C41&lt;&gt;"Growth",$F41&lt;&gt;"",$F41&lt;cfg_PBR_max,$G41&lt;&gt;"",$G41&gt;0,$J41&lt;&gt;"",$J41&gt;=cfg_Liq_min),1,0))</f>
        <v/>
      </c>
      <c r="L41">
        <f>IF($K41="","",IF($K41=1,"",(IF($C41="Growth","Market=Growth; ",""))&amp;(IF(OR($F41="",$F41&gt;=cfg_PBR_max),"PBR&gt;=max/missing; ",""))&amp;(IF(OR($G41="",$G41&lt;=0),"NetCash&lt;=0/missing; ",""))&amp;(IF(OR($J41="",$J41&lt;cfg_Liq_min),"Liquidity&lt;min/missing; ",""))))</f>
        <v/>
      </c>
      <c r="M41">
        <f>IF($A41="","",IF(OR($D41="",$E41="",Fundamentals!I41="",Fundamentals!K41="",$J41=""),1,0))</f>
        <v/>
      </c>
      <c r="N41">
        <f>Fundamentals!U41</f>
        <v/>
      </c>
    </row>
    <row r="42">
      <c r="A42">
        <f>Fundamentals!A42</f>
        <v/>
      </c>
      <c r="B42">
        <f>Fundamentals!B42</f>
        <v/>
      </c>
      <c r="C42">
        <f>Fundamentals!C42</f>
        <v/>
      </c>
      <c r="D42" s="15">
        <f>Fundamentals!G42</f>
        <v/>
      </c>
      <c r="E42" s="15">
        <f>Fundamentals!H42</f>
        <v/>
      </c>
      <c r="F42" s="16">
        <f>IF(OR($D42="",$E42="",$E42=0),"",$D42/$E42)</f>
        <v/>
      </c>
      <c r="G42" s="15">
        <f>IF(OR(Fundamentals!I42="",Fundamentals!J42="",Fundamentals!K42=""),"",Fundamentals!I42+Fundamentals!J42-Fundamentals!K42)</f>
        <v/>
      </c>
      <c r="H42" s="17">
        <f>IF(OR($G42="",$D42="",$D42=0),"",$G42/$D42)</f>
        <v/>
      </c>
      <c r="I42" s="17">
        <f>IF(OR(Fundamentals!L42="",$E42="",$E42=0),"",Fundamentals!L42/$E42)</f>
        <v/>
      </c>
      <c r="J42" s="15">
        <f>Fundamentals!O42</f>
        <v/>
      </c>
      <c r="K42">
        <f>IF(OR($A42=""),"",IF(AND($C42&lt;&gt;"Growth",$F42&lt;&gt;"",$F42&lt;cfg_PBR_max,$G42&lt;&gt;"",$G42&gt;0,$J42&lt;&gt;"",$J42&gt;=cfg_Liq_min),1,0))</f>
        <v/>
      </c>
      <c r="L42">
        <f>IF($K42="","",IF($K42=1,"",(IF($C42="Growth","Market=Growth; ",""))&amp;(IF(OR($F42="",$F42&gt;=cfg_PBR_max),"PBR&gt;=max/missing; ",""))&amp;(IF(OR($G42="",$G42&lt;=0),"NetCash&lt;=0/missing; ",""))&amp;(IF(OR($J42="",$J42&lt;cfg_Liq_min),"Liquidity&lt;min/missing; ",""))))</f>
        <v/>
      </c>
      <c r="M42">
        <f>IF($A42="","",IF(OR($D42="",$E42="",Fundamentals!I42="",Fundamentals!K42="",$J42=""),1,0))</f>
        <v/>
      </c>
      <c r="N42">
        <f>Fundamentals!U42</f>
        <v/>
      </c>
    </row>
    <row r="43">
      <c r="A43">
        <f>Fundamentals!A43</f>
        <v/>
      </c>
      <c r="B43">
        <f>Fundamentals!B43</f>
        <v/>
      </c>
      <c r="C43">
        <f>Fundamentals!C43</f>
        <v/>
      </c>
      <c r="D43" s="15">
        <f>Fundamentals!G43</f>
        <v/>
      </c>
      <c r="E43" s="15">
        <f>Fundamentals!H43</f>
        <v/>
      </c>
      <c r="F43" s="16">
        <f>IF(OR($D43="",$E43="",$E43=0),"",$D43/$E43)</f>
        <v/>
      </c>
      <c r="G43" s="15">
        <f>IF(OR(Fundamentals!I43="",Fundamentals!J43="",Fundamentals!K43=""),"",Fundamentals!I43+Fundamentals!J43-Fundamentals!K43)</f>
        <v/>
      </c>
      <c r="H43" s="17">
        <f>IF(OR($G43="",$D43="",$D43=0),"",$G43/$D43)</f>
        <v/>
      </c>
      <c r="I43" s="17">
        <f>IF(OR(Fundamentals!L43="",$E43="",$E43=0),"",Fundamentals!L43/$E43)</f>
        <v/>
      </c>
      <c r="J43" s="15">
        <f>Fundamentals!O43</f>
        <v/>
      </c>
      <c r="K43">
        <f>IF(OR($A43=""),"",IF(AND($C43&lt;&gt;"Growth",$F43&lt;&gt;"",$F43&lt;cfg_PBR_max,$G43&lt;&gt;"",$G43&gt;0,$J43&lt;&gt;"",$J43&gt;=cfg_Liq_min),1,0))</f>
        <v/>
      </c>
      <c r="L43">
        <f>IF($K43="","",IF($K43=1,"",(IF($C43="Growth","Market=Growth; ",""))&amp;(IF(OR($F43="",$F43&gt;=cfg_PBR_max),"PBR&gt;=max/missing; ",""))&amp;(IF(OR($G43="",$G43&lt;=0),"NetCash&lt;=0/missing; ",""))&amp;(IF(OR($J43="",$J43&lt;cfg_Liq_min),"Liquidity&lt;min/missing; ",""))))</f>
        <v/>
      </c>
      <c r="M43">
        <f>IF($A43="","",IF(OR($D43="",$E43="",Fundamentals!I43="",Fundamentals!K43="",$J43=""),1,0))</f>
        <v/>
      </c>
      <c r="N43">
        <f>Fundamentals!U43</f>
        <v/>
      </c>
    </row>
    <row r="44">
      <c r="A44">
        <f>Fundamentals!A44</f>
        <v/>
      </c>
      <c r="B44">
        <f>Fundamentals!B44</f>
        <v/>
      </c>
      <c r="C44">
        <f>Fundamentals!C44</f>
        <v/>
      </c>
      <c r="D44" s="15">
        <f>Fundamentals!G44</f>
        <v/>
      </c>
      <c r="E44" s="15">
        <f>Fundamentals!H44</f>
        <v/>
      </c>
      <c r="F44" s="16">
        <f>IF(OR($D44="",$E44="",$E44=0),"",$D44/$E44)</f>
        <v/>
      </c>
      <c r="G44" s="15">
        <f>IF(OR(Fundamentals!I44="",Fundamentals!J44="",Fundamentals!K44=""),"",Fundamentals!I44+Fundamentals!J44-Fundamentals!K44)</f>
        <v/>
      </c>
      <c r="H44" s="17">
        <f>IF(OR($G44="",$D44="",$D44=0),"",$G44/$D44)</f>
        <v/>
      </c>
      <c r="I44" s="17">
        <f>IF(OR(Fundamentals!L44="",$E44="",$E44=0),"",Fundamentals!L44/$E44)</f>
        <v/>
      </c>
      <c r="J44" s="15">
        <f>Fundamentals!O44</f>
        <v/>
      </c>
      <c r="K44">
        <f>IF(OR($A44=""),"",IF(AND($C44&lt;&gt;"Growth",$F44&lt;&gt;"",$F44&lt;cfg_PBR_max,$G44&lt;&gt;"",$G44&gt;0,$J44&lt;&gt;"",$J44&gt;=cfg_Liq_min),1,0))</f>
        <v/>
      </c>
      <c r="L44">
        <f>IF($K44="","",IF($K44=1,"",(IF($C44="Growth","Market=Growth; ",""))&amp;(IF(OR($F44="",$F44&gt;=cfg_PBR_max),"PBR&gt;=max/missing; ",""))&amp;(IF(OR($G44="",$G44&lt;=0),"NetCash&lt;=0/missing; ",""))&amp;(IF(OR($J44="",$J44&lt;cfg_Liq_min),"Liquidity&lt;min/missing; ",""))))</f>
        <v/>
      </c>
      <c r="M44">
        <f>IF($A44="","",IF(OR($D44="",$E44="",Fundamentals!I44="",Fundamentals!K44="",$J44=""),1,0))</f>
        <v/>
      </c>
      <c r="N44">
        <f>Fundamentals!U44</f>
        <v/>
      </c>
    </row>
    <row r="45">
      <c r="A45">
        <f>Fundamentals!A45</f>
        <v/>
      </c>
      <c r="B45">
        <f>Fundamentals!B45</f>
        <v/>
      </c>
      <c r="C45">
        <f>Fundamentals!C45</f>
        <v/>
      </c>
      <c r="D45" s="15">
        <f>Fundamentals!G45</f>
        <v/>
      </c>
      <c r="E45" s="15">
        <f>Fundamentals!H45</f>
        <v/>
      </c>
      <c r="F45" s="16">
        <f>IF(OR($D45="",$E45="",$E45=0),"",$D45/$E45)</f>
        <v/>
      </c>
      <c r="G45" s="15">
        <f>IF(OR(Fundamentals!I45="",Fundamentals!J45="",Fundamentals!K45=""),"",Fundamentals!I45+Fundamentals!J45-Fundamentals!K45)</f>
        <v/>
      </c>
      <c r="H45" s="17">
        <f>IF(OR($G45="",$D45="",$D45=0),"",$G45/$D45)</f>
        <v/>
      </c>
      <c r="I45" s="17">
        <f>IF(OR(Fundamentals!L45="",$E45="",$E45=0),"",Fundamentals!L45/$E45)</f>
        <v/>
      </c>
      <c r="J45" s="15">
        <f>Fundamentals!O45</f>
        <v/>
      </c>
      <c r="K45">
        <f>IF(OR($A45=""),"",IF(AND($C45&lt;&gt;"Growth",$F45&lt;&gt;"",$F45&lt;cfg_PBR_max,$G45&lt;&gt;"",$G45&gt;0,$J45&lt;&gt;"",$J45&gt;=cfg_Liq_min),1,0))</f>
        <v/>
      </c>
      <c r="L45">
        <f>IF($K45="","",IF($K45=1,"",(IF($C45="Growth","Market=Growth; ",""))&amp;(IF(OR($F45="",$F45&gt;=cfg_PBR_max),"PBR&gt;=max/missing; ",""))&amp;(IF(OR($G45="",$G45&lt;=0),"NetCash&lt;=0/missing; ",""))&amp;(IF(OR($J45="",$J45&lt;cfg_Liq_min),"Liquidity&lt;min/missing; ",""))))</f>
        <v/>
      </c>
      <c r="M45">
        <f>IF($A45="","",IF(OR($D45="",$E45="",Fundamentals!I45="",Fundamentals!K45="",$J45=""),1,0))</f>
        <v/>
      </c>
      <c r="N45">
        <f>Fundamentals!U45</f>
        <v/>
      </c>
    </row>
    <row r="46">
      <c r="A46">
        <f>Fundamentals!A46</f>
        <v/>
      </c>
      <c r="B46">
        <f>Fundamentals!B46</f>
        <v/>
      </c>
      <c r="C46">
        <f>Fundamentals!C46</f>
        <v/>
      </c>
      <c r="D46" s="15">
        <f>Fundamentals!G46</f>
        <v/>
      </c>
      <c r="E46" s="15">
        <f>Fundamentals!H46</f>
        <v/>
      </c>
      <c r="F46" s="16">
        <f>IF(OR($D46="",$E46="",$E46=0),"",$D46/$E46)</f>
        <v/>
      </c>
      <c r="G46" s="15">
        <f>IF(OR(Fundamentals!I46="",Fundamentals!J46="",Fundamentals!K46=""),"",Fundamentals!I46+Fundamentals!J46-Fundamentals!K46)</f>
        <v/>
      </c>
      <c r="H46" s="17">
        <f>IF(OR($G46="",$D46="",$D46=0),"",$G46/$D46)</f>
        <v/>
      </c>
      <c r="I46" s="17">
        <f>IF(OR(Fundamentals!L46="",$E46="",$E46=0),"",Fundamentals!L46/$E46)</f>
        <v/>
      </c>
      <c r="J46" s="15">
        <f>Fundamentals!O46</f>
        <v/>
      </c>
      <c r="K46">
        <f>IF(OR($A46=""),"",IF(AND($C46&lt;&gt;"Growth",$F46&lt;&gt;"",$F46&lt;cfg_PBR_max,$G46&lt;&gt;"",$G46&gt;0,$J46&lt;&gt;"",$J46&gt;=cfg_Liq_min),1,0))</f>
        <v/>
      </c>
      <c r="L46">
        <f>IF($K46="","",IF($K46=1,"",(IF($C46="Growth","Market=Growth; ",""))&amp;(IF(OR($F46="",$F46&gt;=cfg_PBR_max),"PBR&gt;=max/missing; ",""))&amp;(IF(OR($G46="",$G46&lt;=0),"NetCash&lt;=0/missing; ",""))&amp;(IF(OR($J46="",$J46&lt;cfg_Liq_min),"Liquidity&lt;min/missing; ",""))))</f>
        <v/>
      </c>
      <c r="M46">
        <f>IF($A46="","",IF(OR($D46="",$E46="",Fundamentals!I46="",Fundamentals!K46="",$J46=""),1,0))</f>
        <v/>
      </c>
      <c r="N46">
        <f>Fundamentals!U46</f>
        <v/>
      </c>
    </row>
    <row r="47">
      <c r="A47">
        <f>Fundamentals!A47</f>
        <v/>
      </c>
      <c r="B47">
        <f>Fundamentals!B47</f>
        <v/>
      </c>
      <c r="C47">
        <f>Fundamentals!C47</f>
        <v/>
      </c>
      <c r="D47" s="15">
        <f>Fundamentals!G47</f>
        <v/>
      </c>
      <c r="E47" s="15">
        <f>Fundamentals!H47</f>
        <v/>
      </c>
      <c r="F47" s="16">
        <f>IF(OR($D47="",$E47="",$E47=0),"",$D47/$E47)</f>
        <v/>
      </c>
      <c r="G47" s="15">
        <f>IF(OR(Fundamentals!I47="",Fundamentals!J47="",Fundamentals!K47=""),"",Fundamentals!I47+Fundamentals!J47-Fundamentals!K47)</f>
        <v/>
      </c>
      <c r="H47" s="17">
        <f>IF(OR($G47="",$D47="",$D47=0),"",$G47/$D47)</f>
        <v/>
      </c>
      <c r="I47" s="17">
        <f>IF(OR(Fundamentals!L47="",$E47="",$E47=0),"",Fundamentals!L47/$E47)</f>
        <v/>
      </c>
      <c r="J47" s="15">
        <f>Fundamentals!O47</f>
        <v/>
      </c>
      <c r="K47">
        <f>IF(OR($A47=""),"",IF(AND($C47&lt;&gt;"Growth",$F47&lt;&gt;"",$F47&lt;cfg_PBR_max,$G47&lt;&gt;"",$G47&gt;0,$J47&lt;&gt;"",$J47&gt;=cfg_Liq_min),1,0))</f>
        <v/>
      </c>
      <c r="L47">
        <f>IF($K47="","",IF($K47=1,"",(IF($C47="Growth","Market=Growth; ",""))&amp;(IF(OR($F47="",$F47&gt;=cfg_PBR_max),"PBR&gt;=max/missing; ",""))&amp;(IF(OR($G47="",$G47&lt;=0),"NetCash&lt;=0/missing; ",""))&amp;(IF(OR($J47="",$J47&lt;cfg_Liq_min),"Liquidity&lt;min/missing; ",""))))</f>
        <v/>
      </c>
      <c r="M47">
        <f>IF($A47="","",IF(OR($D47="",$E47="",Fundamentals!I47="",Fundamentals!K47="",$J47=""),1,0))</f>
        <v/>
      </c>
      <c r="N47">
        <f>Fundamentals!U47</f>
        <v/>
      </c>
    </row>
    <row r="48">
      <c r="A48">
        <f>Fundamentals!A48</f>
        <v/>
      </c>
      <c r="B48">
        <f>Fundamentals!B48</f>
        <v/>
      </c>
      <c r="C48">
        <f>Fundamentals!C48</f>
        <v/>
      </c>
      <c r="D48" s="15">
        <f>Fundamentals!G48</f>
        <v/>
      </c>
      <c r="E48" s="15">
        <f>Fundamentals!H48</f>
        <v/>
      </c>
      <c r="F48" s="16">
        <f>IF(OR($D48="",$E48="",$E48=0),"",$D48/$E48)</f>
        <v/>
      </c>
      <c r="G48" s="15">
        <f>IF(OR(Fundamentals!I48="",Fundamentals!J48="",Fundamentals!K48=""),"",Fundamentals!I48+Fundamentals!J48-Fundamentals!K48)</f>
        <v/>
      </c>
      <c r="H48" s="17">
        <f>IF(OR($G48="",$D48="",$D48=0),"",$G48/$D48)</f>
        <v/>
      </c>
      <c r="I48" s="17">
        <f>IF(OR(Fundamentals!L48="",$E48="",$E48=0),"",Fundamentals!L48/$E48)</f>
        <v/>
      </c>
      <c r="J48" s="15">
        <f>Fundamentals!O48</f>
        <v/>
      </c>
      <c r="K48">
        <f>IF(OR($A48=""),"",IF(AND($C48&lt;&gt;"Growth",$F48&lt;&gt;"",$F48&lt;cfg_PBR_max,$G48&lt;&gt;"",$G48&gt;0,$J48&lt;&gt;"",$J48&gt;=cfg_Liq_min),1,0))</f>
        <v/>
      </c>
      <c r="L48">
        <f>IF($K48="","",IF($K48=1,"",(IF($C48="Growth","Market=Growth; ",""))&amp;(IF(OR($F48="",$F48&gt;=cfg_PBR_max),"PBR&gt;=max/missing; ",""))&amp;(IF(OR($G48="",$G48&lt;=0),"NetCash&lt;=0/missing; ",""))&amp;(IF(OR($J48="",$J48&lt;cfg_Liq_min),"Liquidity&lt;min/missing; ",""))))</f>
        <v/>
      </c>
      <c r="M48">
        <f>IF($A48="","",IF(OR($D48="",$E48="",Fundamentals!I48="",Fundamentals!K48="",$J48=""),1,0))</f>
        <v/>
      </c>
      <c r="N48">
        <f>Fundamentals!U48</f>
        <v/>
      </c>
    </row>
    <row r="49">
      <c r="A49">
        <f>Fundamentals!A49</f>
        <v/>
      </c>
      <c r="B49">
        <f>Fundamentals!B49</f>
        <v/>
      </c>
      <c r="C49">
        <f>Fundamentals!C49</f>
        <v/>
      </c>
      <c r="D49" s="15">
        <f>Fundamentals!G49</f>
        <v/>
      </c>
      <c r="E49" s="15">
        <f>Fundamentals!H49</f>
        <v/>
      </c>
      <c r="F49" s="16">
        <f>IF(OR($D49="",$E49="",$E49=0),"",$D49/$E49)</f>
        <v/>
      </c>
      <c r="G49" s="15">
        <f>IF(OR(Fundamentals!I49="",Fundamentals!J49="",Fundamentals!K49=""),"",Fundamentals!I49+Fundamentals!J49-Fundamentals!K49)</f>
        <v/>
      </c>
      <c r="H49" s="17">
        <f>IF(OR($G49="",$D49="",$D49=0),"",$G49/$D49)</f>
        <v/>
      </c>
      <c r="I49" s="17">
        <f>IF(OR(Fundamentals!L49="",$E49="",$E49=0),"",Fundamentals!L49/$E49)</f>
        <v/>
      </c>
      <c r="J49" s="15">
        <f>Fundamentals!O49</f>
        <v/>
      </c>
      <c r="K49">
        <f>IF(OR($A49=""),"",IF(AND($C49&lt;&gt;"Growth",$F49&lt;&gt;"",$F49&lt;cfg_PBR_max,$G49&lt;&gt;"",$G49&gt;0,$J49&lt;&gt;"",$J49&gt;=cfg_Liq_min),1,0))</f>
        <v/>
      </c>
      <c r="L49">
        <f>IF($K49="","",IF($K49=1,"",(IF($C49="Growth","Market=Growth; ",""))&amp;(IF(OR($F49="",$F49&gt;=cfg_PBR_max),"PBR&gt;=max/missing; ",""))&amp;(IF(OR($G49="",$G49&lt;=0),"NetCash&lt;=0/missing; ",""))&amp;(IF(OR($J49="",$J49&lt;cfg_Liq_min),"Liquidity&lt;min/missing; ",""))))</f>
        <v/>
      </c>
      <c r="M49">
        <f>IF($A49="","",IF(OR($D49="",$E49="",Fundamentals!I49="",Fundamentals!K49="",$J49=""),1,0))</f>
        <v/>
      </c>
      <c r="N49">
        <f>Fundamentals!U49</f>
        <v/>
      </c>
    </row>
    <row r="50">
      <c r="A50">
        <f>Fundamentals!A50</f>
        <v/>
      </c>
      <c r="B50">
        <f>Fundamentals!B50</f>
        <v/>
      </c>
      <c r="C50">
        <f>Fundamentals!C50</f>
        <v/>
      </c>
      <c r="D50" s="15">
        <f>Fundamentals!G50</f>
        <v/>
      </c>
      <c r="E50" s="15">
        <f>Fundamentals!H50</f>
        <v/>
      </c>
      <c r="F50" s="16">
        <f>IF(OR($D50="",$E50="",$E50=0),"",$D50/$E50)</f>
        <v/>
      </c>
      <c r="G50" s="15">
        <f>IF(OR(Fundamentals!I50="",Fundamentals!J50="",Fundamentals!K50=""),"",Fundamentals!I50+Fundamentals!J50-Fundamentals!K50)</f>
        <v/>
      </c>
      <c r="H50" s="17">
        <f>IF(OR($G50="",$D50="",$D50=0),"",$G50/$D50)</f>
        <v/>
      </c>
      <c r="I50" s="17">
        <f>IF(OR(Fundamentals!L50="",$E50="",$E50=0),"",Fundamentals!L50/$E50)</f>
        <v/>
      </c>
      <c r="J50" s="15">
        <f>Fundamentals!O50</f>
        <v/>
      </c>
      <c r="K50">
        <f>IF(OR($A50=""),"",IF(AND($C50&lt;&gt;"Growth",$F50&lt;&gt;"",$F50&lt;cfg_PBR_max,$G50&lt;&gt;"",$G50&gt;0,$J50&lt;&gt;"",$J50&gt;=cfg_Liq_min),1,0))</f>
        <v/>
      </c>
      <c r="L50">
        <f>IF($K50="","",IF($K50=1,"",(IF($C50="Growth","Market=Growth; ",""))&amp;(IF(OR($F50="",$F50&gt;=cfg_PBR_max),"PBR&gt;=max/missing; ",""))&amp;(IF(OR($G50="",$G50&lt;=0),"NetCash&lt;=0/missing; ",""))&amp;(IF(OR($J50="",$J50&lt;cfg_Liq_min),"Liquidity&lt;min/missing; ",""))))</f>
        <v/>
      </c>
      <c r="M50">
        <f>IF($A50="","",IF(OR($D50="",$E50="",Fundamentals!I50="",Fundamentals!K50="",$J50=""),1,0))</f>
        <v/>
      </c>
      <c r="N50">
        <f>Fundamentals!U50</f>
        <v/>
      </c>
    </row>
    <row r="51">
      <c r="A51">
        <f>Fundamentals!A51</f>
        <v/>
      </c>
      <c r="B51">
        <f>Fundamentals!B51</f>
        <v/>
      </c>
      <c r="C51">
        <f>Fundamentals!C51</f>
        <v/>
      </c>
      <c r="D51" s="15">
        <f>Fundamentals!G51</f>
        <v/>
      </c>
      <c r="E51" s="15">
        <f>Fundamentals!H51</f>
        <v/>
      </c>
      <c r="F51" s="16">
        <f>IF(OR($D51="",$E51="",$E51=0),"",$D51/$E51)</f>
        <v/>
      </c>
      <c r="G51" s="15">
        <f>IF(OR(Fundamentals!I51="",Fundamentals!J51="",Fundamentals!K51=""),"",Fundamentals!I51+Fundamentals!J51-Fundamentals!K51)</f>
        <v/>
      </c>
      <c r="H51" s="17">
        <f>IF(OR($G51="",$D51="",$D51=0),"",$G51/$D51)</f>
        <v/>
      </c>
      <c r="I51" s="17">
        <f>IF(OR(Fundamentals!L51="",$E51="",$E51=0),"",Fundamentals!L51/$E51)</f>
        <v/>
      </c>
      <c r="J51" s="15">
        <f>Fundamentals!O51</f>
        <v/>
      </c>
      <c r="K51">
        <f>IF(OR($A51=""),"",IF(AND($C51&lt;&gt;"Growth",$F51&lt;&gt;"",$F51&lt;cfg_PBR_max,$G51&lt;&gt;"",$G51&gt;0,$J51&lt;&gt;"",$J51&gt;=cfg_Liq_min),1,0))</f>
        <v/>
      </c>
      <c r="L51">
        <f>IF($K51="","",IF($K51=1,"",(IF($C51="Growth","Market=Growth; ",""))&amp;(IF(OR($F51="",$F51&gt;=cfg_PBR_max),"PBR&gt;=max/missing; ",""))&amp;(IF(OR($G51="",$G51&lt;=0),"NetCash&lt;=0/missing; ",""))&amp;(IF(OR($J51="",$J51&lt;cfg_Liq_min),"Liquidity&lt;min/missing; ",""))))</f>
        <v/>
      </c>
      <c r="M51">
        <f>IF($A51="","",IF(OR($D51="",$E51="",Fundamentals!I51="",Fundamentals!K51="",$J51=""),1,0))</f>
        <v/>
      </c>
      <c r="N51">
        <f>Fundamentals!U51</f>
        <v/>
      </c>
    </row>
    <row r="52">
      <c r="A52">
        <f>Fundamentals!A52</f>
        <v/>
      </c>
      <c r="B52">
        <f>Fundamentals!B52</f>
        <v/>
      </c>
      <c r="C52">
        <f>Fundamentals!C52</f>
        <v/>
      </c>
      <c r="D52" s="15">
        <f>Fundamentals!G52</f>
        <v/>
      </c>
      <c r="E52" s="15">
        <f>Fundamentals!H52</f>
        <v/>
      </c>
      <c r="F52" s="16">
        <f>IF(OR($D52="",$E52="",$E52=0),"",$D52/$E52)</f>
        <v/>
      </c>
      <c r="G52" s="15">
        <f>IF(OR(Fundamentals!I52="",Fundamentals!J52="",Fundamentals!K52=""),"",Fundamentals!I52+Fundamentals!J52-Fundamentals!K52)</f>
        <v/>
      </c>
      <c r="H52" s="17">
        <f>IF(OR($G52="",$D52="",$D52=0),"",$G52/$D52)</f>
        <v/>
      </c>
      <c r="I52" s="17">
        <f>IF(OR(Fundamentals!L52="",$E52="",$E52=0),"",Fundamentals!L52/$E52)</f>
        <v/>
      </c>
      <c r="J52" s="15">
        <f>Fundamentals!O52</f>
        <v/>
      </c>
      <c r="K52">
        <f>IF(OR($A52=""),"",IF(AND($C52&lt;&gt;"Growth",$F52&lt;&gt;"",$F52&lt;cfg_PBR_max,$G52&lt;&gt;"",$G52&gt;0,$J52&lt;&gt;"",$J52&gt;=cfg_Liq_min),1,0))</f>
        <v/>
      </c>
      <c r="L52">
        <f>IF($K52="","",IF($K52=1,"",(IF($C52="Growth","Market=Growth; ",""))&amp;(IF(OR($F52="",$F52&gt;=cfg_PBR_max),"PBR&gt;=max/missing; ",""))&amp;(IF(OR($G52="",$G52&lt;=0),"NetCash&lt;=0/missing; ",""))&amp;(IF(OR($J52="",$J52&lt;cfg_Liq_min),"Liquidity&lt;min/missing; ",""))))</f>
        <v/>
      </c>
      <c r="M52">
        <f>IF($A52="","",IF(OR($D52="",$E52="",Fundamentals!I52="",Fundamentals!K52="",$J52=""),1,0))</f>
        <v/>
      </c>
      <c r="N52">
        <f>Fundamentals!U52</f>
        <v/>
      </c>
    </row>
    <row r="53">
      <c r="A53">
        <f>Fundamentals!A53</f>
        <v/>
      </c>
      <c r="B53">
        <f>Fundamentals!B53</f>
        <v/>
      </c>
      <c r="C53">
        <f>Fundamentals!C53</f>
        <v/>
      </c>
      <c r="D53" s="15">
        <f>Fundamentals!G53</f>
        <v/>
      </c>
      <c r="E53" s="15">
        <f>Fundamentals!H53</f>
        <v/>
      </c>
      <c r="F53" s="16">
        <f>IF(OR($D53="",$E53="",$E53=0),"",$D53/$E53)</f>
        <v/>
      </c>
      <c r="G53" s="15">
        <f>IF(OR(Fundamentals!I53="",Fundamentals!J53="",Fundamentals!K53=""),"",Fundamentals!I53+Fundamentals!J53-Fundamentals!K53)</f>
        <v/>
      </c>
      <c r="H53" s="17">
        <f>IF(OR($G53="",$D53="",$D53=0),"",$G53/$D53)</f>
        <v/>
      </c>
      <c r="I53" s="17">
        <f>IF(OR(Fundamentals!L53="",$E53="",$E53=0),"",Fundamentals!L53/$E53)</f>
        <v/>
      </c>
      <c r="J53" s="15">
        <f>Fundamentals!O53</f>
        <v/>
      </c>
      <c r="K53">
        <f>IF(OR($A53=""),"",IF(AND($C53&lt;&gt;"Growth",$F53&lt;&gt;"",$F53&lt;cfg_PBR_max,$G53&lt;&gt;"",$G53&gt;0,$J53&lt;&gt;"",$J53&gt;=cfg_Liq_min),1,0))</f>
        <v/>
      </c>
      <c r="L53">
        <f>IF($K53="","",IF($K53=1,"",(IF($C53="Growth","Market=Growth; ",""))&amp;(IF(OR($F53="",$F53&gt;=cfg_PBR_max),"PBR&gt;=max/missing; ",""))&amp;(IF(OR($G53="",$G53&lt;=0),"NetCash&lt;=0/missing; ",""))&amp;(IF(OR($J53="",$J53&lt;cfg_Liq_min),"Liquidity&lt;min/missing; ",""))))</f>
        <v/>
      </c>
      <c r="M53">
        <f>IF($A53="","",IF(OR($D53="",$E53="",Fundamentals!I53="",Fundamentals!K53="",$J53=""),1,0))</f>
        <v/>
      </c>
      <c r="N53">
        <f>Fundamentals!U53</f>
        <v/>
      </c>
    </row>
    <row r="54">
      <c r="A54">
        <f>Fundamentals!A54</f>
        <v/>
      </c>
      <c r="B54">
        <f>Fundamentals!B54</f>
        <v/>
      </c>
      <c r="C54">
        <f>Fundamentals!C54</f>
        <v/>
      </c>
      <c r="D54" s="15">
        <f>Fundamentals!G54</f>
        <v/>
      </c>
      <c r="E54" s="15">
        <f>Fundamentals!H54</f>
        <v/>
      </c>
      <c r="F54" s="16">
        <f>IF(OR($D54="",$E54="",$E54=0),"",$D54/$E54)</f>
        <v/>
      </c>
      <c r="G54" s="15">
        <f>IF(OR(Fundamentals!I54="",Fundamentals!J54="",Fundamentals!K54=""),"",Fundamentals!I54+Fundamentals!J54-Fundamentals!K54)</f>
        <v/>
      </c>
      <c r="H54" s="17">
        <f>IF(OR($G54="",$D54="",$D54=0),"",$G54/$D54)</f>
        <v/>
      </c>
      <c r="I54" s="17">
        <f>IF(OR(Fundamentals!L54="",$E54="",$E54=0),"",Fundamentals!L54/$E54)</f>
        <v/>
      </c>
      <c r="J54" s="15">
        <f>Fundamentals!O54</f>
        <v/>
      </c>
      <c r="K54">
        <f>IF(OR($A54=""),"",IF(AND($C54&lt;&gt;"Growth",$F54&lt;&gt;"",$F54&lt;cfg_PBR_max,$G54&lt;&gt;"",$G54&gt;0,$J54&lt;&gt;"",$J54&gt;=cfg_Liq_min),1,0))</f>
        <v/>
      </c>
      <c r="L54">
        <f>IF($K54="","",IF($K54=1,"",(IF($C54="Growth","Market=Growth; ",""))&amp;(IF(OR($F54="",$F54&gt;=cfg_PBR_max),"PBR&gt;=max/missing; ",""))&amp;(IF(OR($G54="",$G54&lt;=0),"NetCash&lt;=0/missing; ",""))&amp;(IF(OR($J54="",$J54&lt;cfg_Liq_min),"Liquidity&lt;min/missing; ",""))))</f>
        <v/>
      </c>
      <c r="M54">
        <f>IF($A54="","",IF(OR($D54="",$E54="",Fundamentals!I54="",Fundamentals!K54="",$J54=""),1,0))</f>
        <v/>
      </c>
      <c r="N54">
        <f>Fundamentals!U54</f>
        <v/>
      </c>
    </row>
    <row r="55">
      <c r="A55">
        <f>Fundamentals!A55</f>
        <v/>
      </c>
      <c r="B55">
        <f>Fundamentals!B55</f>
        <v/>
      </c>
      <c r="C55">
        <f>Fundamentals!C55</f>
        <v/>
      </c>
      <c r="D55" s="15">
        <f>Fundamentals!G55</f>
        <v/>
      </c>
      <c r="E55" s="15">
        <f>Fundamentals!H55</f>
        <v/>
      </c>
      <c r="F55" s="16">
        <f>IF(OR($D55="",$E55="",$E55=0),"",$D55/$E55)</f>
        <v/>
      </c>
      <c r="G55" s="15">
        <f>IF(OR(Fundamentals!I55="",Fundamentals!J55="",Fundamentals!K55=""),"",Fundamentals!I55+Fundamentals!J55-Fundamentals!K55)</f>
        <v/>
      </c>
      <c r="H55" s="17">
        <f>IF(OR($G55="",$D55="",$D55=0),"",$G55/$D55)</f>
        <v/>
      </c>
      <c r="I55" s="17">
        <f>IF(OR(Fundamentals!L55="",$E55="",$E55=0),"",Fundamentals!L55/$E55)</f>
        <v/>
      </c>
      <c r="J55" s="15">
        <f>Fundamentals!O55</f>
        <v/>
      </c>
      <c r="K55">
        <f>IF(OR($A55=""),"",IF(AND($C55&lt;&gt;"Growth",$F55&lt;&gt;"",$F55&lt;cfg_PBR_max,$G55&lt;&gt;"",$G55&gt;0,$J55&lt;&gt;"",$J55&gt;=cfg_Liq_min),1,0))</f>
        <v/>
      </c>
      <c r="L55">
        <f>IF($K55="","",IF($K55=1,"",(IF($C55="Growth","Market=Growth; ",""))&amp;(IF(OR($F55="",$F55&gt;=cfg_PBR_max),"PBR&gt;=max/missing; ",""))&amp;(IF(OR($G55="",$G55&lt;=0),"NetCash&lt;=0/missing; ",""))&amp;(IF(OR($J55="",$J55&lt;cfg_Liq_min),"Liquidity&lt;min/missing; ",""))))</f>
        <v/>
      </c>
      <c r="M55">
        <f>IF($A55="","",IF(OR($D55="",$E55="",Fundamentals!I55="",Fundamentals!K55="",$J55=""),1,0))</f>
        <v/>
      </c>
      <c r="N55">
        <f>Fundamentals!U55</f>
        <v/>
      </c>
    </row>
    <row r="56">
      <c r="A56">
        <f>Fundamentals!A56</f>
        <v/>
      </c>
      <c r="B56">
        <f>Fundamentals!B56</f>
        <v/>
      </c>
      <c r="C56">
        <f>Fundamentals!C56</f>
        <v/>
      </c>
      <c r="D56" s="15">
        <f>Fundamentals!G56</f>
        <v/>
      </c>
      <c r="E56" s="15">
        <f>Fundamentals!H56</f>
        <v/>
      </c>
      <c r="F56" s="16">
        <f>IF(OR($D56="",$E56="",$E56=0),"",$D56/$E56)</f>
        <v/>
      </c>
      <c r="G56" s="15">
        <f>IF(OR(Fundamentals!I56="",Fundamentals!J56="",Fundamentals!K56=""),"",Fundamentals!I56+Fundamentals!J56-Fundamentals!K56)</f>
        <v/>
      </c>
      <c r="H56" s="17">
        <f>IF(OR($G56="",$D56="",$D56=0),"",$G56/$D56)</f>
        <v/>
      </c>
      <c r="I56" s="17">
        <f>IF(OR(Fundamentals!L56="",$E56="",$E56=0),"",Fundamentals!L56/$E56)</f>
        <v/>
      </c>
      <c r="J56" s="15">
        <f>Fundamentals!O56</f>
        <v/>
      </c>
      <c r="K56">
        <f>IF(OR($A56=""),"",IF(AND($C56&lt;&gt;"Growth",$F56&lt;&gt;"",$F56&lt;cfg_PBR_max,$G56&lt;&gt;"",$G56&gt;0,$J56&lt;&gt;"",$J56&gt;=cfg_Liq_min),1,0))</f>
        <v/>
      </c>
      <c r="L56">
        <f>IF($K56="","",IF($K56=1,"",(IF($C56="Growth","Market=Growth; ",""))&amp;(IF(OR($F56="",$F56&gt;=cfg_PBR_max),"PBR&gt;=max/missing; ",""))&amp;(IF(OR($G56="",$G56&lt;=0),"NetCash&lt;=0/missing; ",""))&amp;(IF(OR($J56="",$J56&lt;cfg_Liq_min),"Liquidity&lt;min/missing; ",""))))</f>
        <v/>
      </c>
      <c r="M56">
        <f>IF($A56="","",IF(OR($D56="",$E56="",Fundamentals!I56="",Fundamentals!K56="",$J56=""),1,0))</f>
        <v/>
      </c>
      <c r="N56">
        <f>Fundamentals!U56</f>
        <v/>
      </c>
    </row>
    <row r="57">
      <c r="A57">
        <f>Fundamentals!A57</f>
        <v/>
      </c>
      <c r="B57">
        <f>Fundamentals!B57</f>
        <v/>
      </c>
      <c r="C57">
        <f>Fundamentals!C57</f>
        <v/>
      </c>
      <c r="D57" s="15">
        <f>Fundamentals!G57</f>
        <v/>
      </c>
      <c r="E57" s="15">
        <f>Fundamentals!H57</f>
        <v/>
      </c>
      <c r="F57" s="16">
        <f>IF(OR($D57="",$E57="",$E57=0),"",$D57/$E57)</f>
        <v/>
      </c>
      <c r="G57" s="15">
        <f>IF(OR(Fundamentals!I57="",Fundamentals!J57="",Fundamentals!K57=""),"",Fundamentals!I57+Fundamentals!J57-Fundamentals!K57)</f>
        <v/>
      </c>
      <c r="H57" s="17">
        <f>IF(OR($G57="",$D57="",$D57=0),"",$G57/$D57)</f>
        <v/>
      </c>
      <c r="I57" s="17">
        <f>IF(OR(Fundamentals!L57="",$E57="",$E57=0),"",Fundamentals!L57/$E57)</f>
        <v/>
      </c>
      <c r="J57" s="15">
        <f>Fundamentals!O57</f>
        <v/>
      </c>
      <c r="K57">
        <f>IF(OR($A57=""),"",IF(AND($C57&lt;&gt;"Growth",$F57&lt;&gt;"",$F57&lt;cfg_PBR_max,$G57&lt;&gt;"",$G57&gt;0,$J57&lt;&gt;"",$J57&gt;=cfg_Liq_min),1,0))</f>
        <v/>
      </c>
      <c r="L57">
        <f>IF($K57="","",IF($K57=1,"",(IF($C57="Growth","Market=Growth; ",""))&amp;(IF(OR($F57="",$F57&gt;=cfg_PBR_max),"PBR&gt;=max/missing; ",""))&amp;(IF(OR($G57="",$G57&lt;=0),"NetCash&lt;=0/missing; ",""))&amp;(IF(OR($J57="",$J57&lt;cfg_Liq_min),"Liquidity&lt;min/missing; ",""))))</f>
        <v/>
      </c>
      <c r="M57">
        <f>IF($A57="","",IF(OR($D57="",$E57="",Fundamentals!I57="",Fundamentals!K57="",$J57=""),1,0))</f>
        <v/>
      </c>
      <c r="N57">
        <f>Fundamentals!U57</f>
        <v/>
      </c>
    </row>
    <row r="58">
      <c r="A58">
        <f>Fundamentals!A58</f>
        <v/>
      </c>
      <c r="B58">
        <f>Fundamentals!B58</f>
        <v/>
      </c>
      <c r="C58">
        <f>Fundamentals!C58</f>
        <v/>
      </c>
      <c r="D58" s="15">
        <f>Fundamentals!G58</f>
        <v/>
      </c>
      <c r="E58" s="15">
        <f>Fundamentals!H58</f>
        <v/>
      </c>
      <c r="F58" s="16">
        <f>IF(OR($D58="",$E58="",$E58=0),"",$D58/$E58)</f>
        <v/>
      </c>
      <c r="G58" s="15">
        <f>IF(OR(Fundamentals!I58="",Fundamentals!J58="",Fundamentals!K58=""),"",Fundamentals!I58+Fundamentals!J58-Fundamentals!K58)</f>
        <v/>
      </c>
      <c r="H58" s="17">
        <f>IF(OR($G58="",$D58="",$D58=0),"",$G58/$D58)</f>
        <v/>
      </c>
      <c r="I58" s="17">
        <f>IF(OR(Fundamentals!L58="",$E58="",$E58=0),"",Fundamentals!L58/$E58)</f>
        <v/>
      </c>
      <c r="J58" s="15">
        <f>Fundamentals!O58</f>
        <v/>
      </c>
      <c r="K58">
        <f>IF(OR($A58=""),"",IF(AND($C58&lt;&gt;"Growth",$F58&lt;&gt;"",$F58&lt;cfg_PBR_max,$G58&lt;&gt;"",$G58&gt;0,$J58&lt;&gt;"",$J58&gt;=cfg_Liq_min),1,0))</f>
        <v/>
      </c>
      <c r="L58">
        <f>IF($K58="","",IF($K58=1,"",(IF($C58="Growth","Market=Growth; ",""))&amp;(IF(OR($F58="",$F58&gt;=cfg_PBR_max),"PBR&gt;=max/missing; ",""))&amp;(IF(OR($G58="",$G58&lt;=0),"NetCash&lt;=0/missing; ",""))&amp;(IF(OR($J58="",$J58&lt;cfg_Liq_min),"Liquidity&lt;min/missing; ",""))))</f>
        <v/>
      </c>
      <c r="M58">
        <f>IF($A58="","",IF(OR($D58="",$E58="",Fundamentals!I58="",Fundamentals!K58="",$J58=""),1,0))</f>
        <v/>
      </c>
      <c r="N58">
        <f>Fundamentals!U58</f>
        <v/>
      </c>
    </row>
    <row r="59">
      <c r="A59">
        <f>Fundamentals!A59</f>
        <v/>
      </c>
      <c r="B59">
        <f>Fundamentals!B59</f>
        <v/>
      </c>
      <c r="C59">
        <f>Fundamentals!C59</f>
        <v/>
      </c>
      <c r="D59" s="15">
        <f>Fundamentals!G59</f>
        <v/>
      </c>
      <c r="E59" s="15">
        <f>Fundamentals!H59</f>
        <v/>
      </c>
      <c r="F59" s="16">
        <f>IF(OR($D59="",$E59="",$E59=0),"",$D59/$E59)</f>
        <v/>
      </c>
      <c r="G59" s="15">
        <f>IF(OR(Fundamentals!I59="",Fundamentals!J59="",Fundamentals!K59=""),"",Fundamentals!I59+Fundamentals!J59-Fundamentals!K59)</f>
        <v/>
      </c>
      <c r="H59" s="17">
        <f>IF(OR($G59="",$D59="",$D59=0),"",$G59/$D59)</f>
        <v/>
      </c>
      <c r="I59" s="17">
        <f>IF(OR(Fundamentals!L59="",$E59="",$E59=0),"",Fundamentals!L59/$E59)</f>
        <v/>
      </c>
      <c r="J59" s="15">
        <f>Fundamentals!O59</f>
        <v/>
      </c>
      <c r="K59">
        <f>IF(OR($A59=""),"",IF(AND($C59&lt;&gt;"Growth",$F59&lt;&gt;"",$F59&lt;cfg_PBR_max,$G59&lt;&gt;"",$G59&gt;0,$J59&lt;&gt;"",$J59&gt;=cfg_Liq_min),1,0))</f>
        <v/>
      </c>
      <c r="L59">
        <f>IF($K59="","",IF($K59=1,"",(IF($C59="Growth","Market=Growth; ",""))&amp;(IF(OR($F59="",$F59&gt;=cfg_PBR_max),"PBR&gt;=max/missing; ",""))&amp;(IF(OR($G59="",$G59&lt;=0),"NetCash&lt;=0/missing; ",""))&amp;(IF(OR($J59="",$J59&lt;cfg_Liq_min),"Liquidity&lt;min/missing; ",""))))</f>
        <v/>
      </c>
      <c r="M59">
        <f>IF($A59="","",IF(OR($D59="",$E59="",Fundamentals!I59="",Fundamentals!K59="",$J59=""),1,0))</f>
        <v/>
      </c>
      <c r="N59">
        <f>Fundamentals!U59</f>
        <v/>
      </c>
    </row>
    <row r="60">
      <c r="A60">
        <f>Fundamentals!A60</f>
        <v/>
      </c>
      <c r="B60">
        <f>Fundamentals!B60</f>
        <v/>
      </c>
      <c r="C60">
        <f>Fundamentals!C60</f>
        <v/>
      </c>
      <c r="D60" s="15">
        <f>Fundamentals!G60</f>
        <v/>
      </c>
      <c r="E60" s="15">
        <f>Fundamentals!H60</f>
        <v/>
      </c>
      <c r="F60" s="16">
        <f>IF(OR($D60="",$E60="",$E60=0),"",$D60/$E60)</f>
        <v/>
      </c>
      <c r="G60" s="15">
        <f>IF(OR(Fundamentals!I60="",Fundamentals!J60="",Fundamentals!K60=""),"",Fundamentals!I60+Fundamentals!J60-Fundamentals!K60)</f>
        <v/>
      </c>
      <c r="H60" s="17">
        <f>IF(OR($G60="",$D60="",$D60=0),"",$G60/$D60)</f>
        <v/>
      </c>
      <c r="I60" s="17">
        <f>IF(OR(Fundamentals!L60="",$E60="",$E60=0),"",Fundamentals!L60/$E60)</f>
        <v/>
      </c>
      <c r="J60" s="15">
        <f>Fundamentals!O60</f>
        <v/>
      </c>
      <c r="K60">
        <f>IF(OR($A60=""),"",IF(AND($C60&lt;&gt;"Growth",$F60&lt;&gt;"",$F60&lt;cfg_PBR_max,$G60&lt;&gt;"",$G60&gt;0,$J60&lt;&gt;"",$J60&gt;=cfg_Liq_min),1,0))</f>
        <v/>
      </c>
      <c r="L60">
        <f>IF($K60="","",IF($K60=1,"",(IF($C60="Growth","Market=Growth; ",""))&amp;(IF(OR($F60="",$F60&gt;=cfg_PBR_max),"PBR&gt;=max/missing; ",""))&amp;(IF(OR($G60="",$G60&lt;=0),"NetCash&lt;=0/missing; ",""))&amp;(IF(OR($J60="",$J60&lt;cfg_Liq_min),"Liquidity&lt;min/missing; ",""))))</f>
        <v/>
      </c>
      <c r="M60">
        <f>IF($A60="","",IF(OR($D60="",$E60="",Fundamentals!I60="",Fundamentals!K60="",$J60=""),1,0))</f>
        <v/>
      </c>
      <c r="N60">
        <f>Fundamentals!U60</f>
        <v/>
      </c>
    </row>
    <row r="61">
      <c r="A61">
        <f>Fundamentals!A61</f>
        <v/>
      </c>
      <c r="B61">
        <f>Fundamentals!B61</f>
        <v/>
      </c>
      <c r="C61">
        <f>Fundamentals!C61</f>
        <v/>
      </c>
      <c r="D61" s="15">
        <f>Fundamentals!G61</f>
        <v/>
      </c>
      <c r="E61" s="15">
        <f>Fundamentals!H61</f>
        <v/>
      </c>
      <c r="F61" s="16">
        <f>IF(OR($D61="",$E61="",$E61=0),"",$D61/$E61)</f>
        <v/>
      </c>
      <c r="G61" s="15">
        <f>IF(OR(Fundamentals!I61="",Fundamentals!J61="",Fundamentals!K61=""),"",Fundamentals!I61+Fundamentals!J61-Fundamentals!K61)</f>
        <v/>
      </c>
      <c r="H61" s="17">
        <f>IF(OR($G61="",$D61="",$D61=0),"",$G61/$D61)</f>
        <v/>
      </c>
      <c r="I61" s="17">
        <f>IF(OR(Fundamentals!L61="",$E61="",$E61=0),"",Fundamentals!L61/$E61)</f>
        <v/>
      </c>
      <c r="J61" s="15">
        <f>Fundamentals!O61</f>
        <v/>
      </c>
      <c r="K61">
        <f>IF(OR($A61=""),"",IF(AND($C61&lt;&gt;"Growth",$F61&lt;&gt;"",$F61&lt;cfg_PBR_max,$G61&lt;&gt;"",$G61&gt;0,$J61&lt;&gt;"",$J61&gt;=cfg_Liq_min),1,0))</f>
        <v/>
      </c>
      <c r="L61">
        <f>IF($K61="","",IF($K61=1,"",(IF($C61="Growth","Market=Growth; ",""))&amp;(IF(OR($F61="",$F61&gt;=cfg_PBR_max),"PBR&gt;=max/missing; ",""))&amp;(IF(OR($G61="",$G61&lt;=0),"NetCash&lt;=0/missing; ",""))&amp;(IF(OR($J61="",$J61&lt;cfg_Liq_min),"Liquidity&lt;min/missing; ",""))))</f>
        <v/>
      </c>
      <c r="M61">
        <f>IF($A61="","",IF(OR($D61="",$E61="",Fundamentals!I61="",Fundamentals!K61="",$J61=""),1,0))</f>
        <v/>
      </c>
      <c r="N61">
        <f>Fundamentals!U61</f>
        <v/>
      </c>
    </row>
    <row r="62">
      <c r="A62">
        <f>Fundamentals!A62</f>
        <v/>
      </c>
      <c r="B62">
        <f>Fundamentals!B62</f>
        <v/>
      </c>
      <c r="C62">
        <f>Fundamentals!C62</f>
        <v/>
      </c>
      <c r="D62" s="15">
        <f>Fundamentals!G62</f>
        <v/>
      </c>
      <c r="E62" s="15">
        <f>Fundamentals!H62</f>
        <v/>
      </c>
      <c r="F62" s="16">
        <f>IF(OR($D62="",$E62="",$E62=0),"",$D62/$E62)</f>
        <v/>
      </c>
      <c r="G62" s="15">
        <f>IF(OR(Fundamentals!I62="",Fundamentals!J62="",Fundamentals!K62=""),"",Fundamentals!I62+Fundamentals!J62-Fundamentals!K62)</f>
        <v/>
      </c>
      <c r="H62" s="17">
        <f>IF(OR($G62="",$D62="",$D62=0),"",$G62/$D62)</f>
        <v/>
      </c>
      <c r="I62" s="17">
        <f>IF(OR(Fundamentals!L62="",$E62="",$E62=0),"",Fundamentals!L62/$E62)</f>
        <v/>
      </c>
      <c r="J62" s="15">
        <f>Fundamentals!O62</f>
        <v/>
      </c>
      <c r="K62">
        <f>IF(OR($A62=""),"",IF(AND($C62&lt;&gt;"Growth",$F62&lt;&gt;"",$F62&lt;cfg_PBR_max,$G62&lt;&gt;"",$G62&gt;0,$J62&lt;&gt;"",$J62&gt;=cfg_Liq_min),1,0))</f>
        <v/>
      </c>
      <c r="L62">
        <f>IF($K62="","",IF($K62=1,"",(IF($C62="Growth","Market=Growth; ",""))&amp;(IF(OR($F62="",$F62&gt;=cfg_PBR_max),"PBR&gt;=max/missing; ",""))&amp;(IF(OR($G62="",$G62&lt;=0),"NetCash&lt;=0/missing; ",""))&amp;(IF(OR($J62="",$J62&lt;cfg_Liq_min),"Liquidity&lt;min/missing; ",""))))</f>
        <v/>
      </c>
      <c r="M62">
        <f>IF($A62="","",IF(OR($D62="",$E62="",Fundamentals!I62="",Fundamentals!K62="",$J62=""),1,0))</f>
        <v/>
      </c>
      <c r="N62">
        <f>Fundamentals!U62</f>
        <v/>
      </c>
    </row>
    <row r="63">
      <c r="A63">
        <f>Fundamentals!A63</f>
        <v/>
      </c>
      <c r="B63">
        <f>Fundamentals!B63</f>
        <v/>
      </c>
      <c r="C63">
        <f>Fundamentals!C63</f>
        <v/>
      </c>
      <c r="D63" s="15">
        <f>Fundamentals!G63</f>
        <v/>
      </c>
      <c r="E63" s="15">
        <f>Fundamentals!H63</f>
        <v/>
      </c>
      <c r="F63" s="16">
        <f>IF(OR($D63="",$E63="",$E63=0),"",$D63/$E63)</f>
        <v/>
      </c>
      <c r="G63" s="15">
        <f>IF(OR(Fundamentals!I63="",Fundamentals!J63="",Fundamentals!K63=""),"",Fundamentals!I63+Fundamentals!J63-Fundamentals!K63)</f>
        <v/>
      </c>
      <c r="H63" s="17">
        <f>IF(OR($G63="",$D63="",$D63=0),"",$G63/$D63)</f>
        <v/>
      </c>
      <c r="I63" s="17">
        <f>IF(OR(Fundamentals!L63="",$E63="",$E63=0),"",Fundamentals!L63/$E63)</f>
        <v/>
      </c>
      <c r="J63" s="15">
        <f>Fundamentals!O63</f>
        <v/>
      </c>
      <c r="K63">
        <f>IF(OR($A63=""),"",IF(AND($C63&lt;&gt;"Growth",$F63&lt;&gt;"",$F63&lt;cfg_PBR_max,$G63&lt;&gt;"",$G63&gt;0,$J63&lt;&gt;"",$J63&gt;=cfg_Liq_min),1,0))</f>
        <v/>
      </c>
      <c r="L63">
        <f>IF($K63="","",IF($K63=1,"",(IF($C63="Growth","Market=Growth; ",""))&amp;(IF(OR($F63="",$F63&gt;=cfg_PBR_max),"PBR&gt;=max/missing; ",""))&amp;(IF(OR($G63="",$G63&lt;=0),"NetCash&lt;=0/missing; ",""))&amp;(IF(OR($J63="",$J63&lt;cfg_Liq_min),"Liquidity&lt;min/missing; ",""))))</f>
        <v/>
      </c>
      <c r="M63">
        <f>IF($A63="","",IF(OR($D63="",$E63="",Fundamentals!I63="",Fundamentals!K63="",$J63=""),1,0))</f>
        <v/>
      </c>
      <c r="N63">
        <f>Fundamentals!U63</f>
        <v/>
      </c>
    </row>
    <row r="64">
      <c r="A64">
        <f>Fundamentals!A64</f>
        <v/>
      </c>
      <c r="B64">
        <f>Fundamentals!B64</f>
        <v/>
      </c>
      <c r="C64">
        <f>Fundamentals!C64</f>
        <v/>
      </c>
      <c r="D64" s="15">
        <f>Fundamentals!G64</f>
        <v/>
      </c>
      <c r="E64" s="15">
        <f>Fundamentals!H64</f>
        <v/>
      </c>
      <c r="F64" s="16">
        <f>IF(OR($D64="",$E64="",$E64=0),"",$D64/$E64)</f>
        <v/>
      </c>
      <c r="G64" s="15">
        <f>IF(OR(Fundamentals!I64="",Fundamentals!J64="",Fundamentals!K64=""),"",Fundamentals!I64+Fundamentals!J64-Fundamentals!K64)</f>
        <v/>
      </c>
      <c r="H64" s="17">
        <f>IF(OR($G64="",$D64="",$D64=0),"",$G64/$D64)</f>
        <v/>
      </c>
      <c r="I64" s="17">
        <f>IF(OR(Fundamentals!L64="",$E64="",$E64=0),"",Fundamentals!L64/$E64)</f>
        <v/>
      </c>
      <c r="J64" s="15">
        <f>Fundamentals!O64</f>
        <v/>
      </c>
      <c r="K64">
        <f>IF(OR($A64=""),"",IF(AND($C64&lt;&gt;"Growth",$F64&lt;&gt;"",$F64&lt;cfg_PBR_max,$G64&lt;&gt;"",$G64&gt;0,$J64&lt;&gt;"",$J64&gt;=cfg_Liq_min),1,0))</f>
        <v/>
      </c>
      <c r="L64">
        <f>IF($K64="","",IF($K64=1,"",(IF($C64="Growth","Market=Growth; ",""))&amp;(IF(OR($F64="",$F64&gt;=cfg_PBR_max),"PBR&gt;=max/missing; ",""))&amp;(IF(OR($G64="",$G64&lt;=0),"NetCash&lt;=0/missing; ",""))&amp;(IF(OR($J64="",$J64&lt;cfg_Liq_min),"Liquidity&lt;min/missing; ",""))))</f>
        <v/>
      </c>
      <c r="M64">
        <f>IF($A64="","",IF(OR($D64="",$E64="",Fundamentals!I64="",Fundamentals!K64="",$J64=""),1,0))</f>
        <v/>
      </c>
      <c r="N64">
        <f>Fundamentals!U64</f>
        <v/>
      </c>
    </row>
    <row r="65">
      <c r="A65">
        <f>Fundamentals!A65</f>
        <v/>
      </c>
      <c r="B65">
        <f>Fundamentals!B65</f>
        <v/>
      </c>
      <c r="C65">
        <f>Fundamentals!C65</f>
        <v/>
      </c>
      <c r="D65" s="15">
        <f>Fundamentals!G65</f>
        <v/>
      </c>
      <c r="E65" s="15">
        <f>Fundamentals!H65</f>
        <v/>
      </c>
      <c r="F65" s="16">
        <f>IF(OR($D65="",$E65="",$E65=0),"",$D65/$E65)</f>
        <v/>
      </c>
      <c r="G65" s="15">
        <f>IF(OR(Fundamentals!I65="",Fundamentals!J65="",Fundamentals!K65=""),"",Fundamentals!I65+Fundamentals!J65-Fundamentals!K65)</f>
        <v/>
      </c>
      <c r="H65" s="17">
        <f>IF(OR($G65="",$D65="",$D65=0),"",$G65/$D65)</f>
        <v/>
      </c>
      <c r="I65" s="17">
        <f>IF(OR(Fundamentals!L65="",$E65="",$E65=0),"",Fundamentals!L65/$E65)</f>
        <v/>
      </c>
      <c r="J65" s="15">
        <f>Fundamentals!O65</f>
        <v/>
      </c>
      <c r="K65">
        <f>IF(OR($A65=""),"",IF(AND($C65&lt;&gt;"Growth",$F65&lt;&gt;"",$F65&lt;cfg_PBR_max,$G65&lt;&gt;"",$G65&gt;0,$J65&lt;&gt;"",$J65&gt;=cfg_Liq_min),1,0))</f>
        <v/>
      </c>
      <c r="L65">
        <f>IF($K65="","",IF($K65=1,"",(IF($C65="Growth","Market=Growth; ",""))&amp;(IF(OR($F65="",$F65&gt;=cfg_PBR_max),"PBR&gt;=max/missing; ",""))&amp;(IF(OR($G65="",$G65&lt;=0),"NetCash&lt;=0/missing; ",""))&amp;(IF(OR($J65="",$J65&lt;cfg_Liq_min),"Liquidity&lt;min/missing; ",""))))</f>
        <v/>
      </c>
      <c r="M65">
        <f>IF($A65="","",IF(OR($D65="",$E65="",Fundamentals!I65="",Fundamentals!K65="",$J65=""),1,0))</f>
        <v/>
      </c>
      <c r="N65">
        <f>Fundamentals!U65</f>
        <v/>
      </c>
    </row>
    <row r="66">
      <c r="A66">
        <f>Fundamentals!A66</f>
        <v/>
      </c>
      <c r="B66">
        <f>Fundamentals!B66</f>
        <v/>
      </c>
      <c r="C66">
        <f>Fundamentals!C66</f>
        <v/>
      </c>
      <c r="D66" s="15">
        <f>Fundamentals!G66</f>
        <v/>
      </c>
      <c r="E66" s="15">
        <f>Fundamentals!H66</f>
        <v/>
      </c>
      <c r="F66" s="16">
        <f>IF(OR($D66="",$E66="",$E66=0),"",$D66/$E66)</f>
        <v/>
      </c>
      <c r="G66" s="15">
        <f>IF(OR(Fundamentals!I66="",Fundamentals!J66="",Fundamentals!K66=""),"",Fundamentals!I66+Fundamentals!J66-Fundamentals!K66)</f>
        <v/>
      </c>
      <c r="H66" s="17">
        <f>IF(OR($G66="",$D66="",$D66=0),"",$G66/$D66)</f>
        <v/>
      </c>
      <c r="I66" s="17">
        <f>IF(OR(Fundamentals!L66="",$E66="",$E66=0),"",Fundamentals!L66/$E66)</f>
        <v/>
      </c>
      <c r="J66" s="15">
        <f>Fundamentals!O66</f>
        <v/>
      </c>
      <c r="K66">
        <f>IF(OR($A66=""),"",IF(AND($C66&lt;&gt;"Growth",$F66&lt;&gt;"",$F66&lt;cfg_PBR_max,$G66&lt;&gt;"",$G66&gt;0,$J66&lt;&gt;"",$J66&gt;=cfg_Liq_min),1,0))</f>
        <v/>
      </c>
      <c r="L66">
        <f>IF($K66="","",IF($K66=1,"",(IF($C66="Growth","Market=Growth; ",""))&amp;(IF(OR($F66="",$F66&gt;=cfg_PBR_max),"PBR&gt;=max/missing; ",""))&amp;(IF(OR($G66="",$G66&lt;=0),"NetCash&lt;=0/missing; ",""))&amp;(IF(OR($J66="",$J66&lt;cfg_Liq_min),"Liquidity&lt;min/missing; ",""))))</f>
        <v/>
      </c>
      <c r="M66">
        <f>IF($A66="","",IF(OR($D66="",$E66="",Fundamentals!I66="",Fundamentals!K66="",$J66=""),1,0))</f>
        <v/>
      </c>
      <c r="N66">
        <f>Fundamentals!U66</f>
        <v/>
      </c>
    </row>
    <row r="67">
      <c r="A67">
        <f>Fundamentals!A67</f>
        <v/>
      </c>
      <c r="B67">
        <f>Fundamentals!B67</f>
        <v/>
      </c>
      <c r="C67">
        <f>Fundamentals!C67</f>
        <v/>
      </c>
      <c r="D67" s="15">
        <f>Fundamentals!G67</f>
        <v/>
      </c>
      <c r="E67" s="15">
        <f>Fundamentals!H67</f>
        <v/>
      </c>
      <c r="F67" s="16">
        <f>IF(OR($D67="",$E67="",$E67=0),"",$D67/$E67)</f>
        <v/>
      </c>
      <c r="G67" s="15">
        <f>IF(OR(Fundamentals!I67="",Fundamentals!J67="",Fundamentals!K67=""),"",Fundamentals!I67+Fundamentals!J67-Fundamentals!K67)</f>
        <v/>
      </c>
      <c r="H67" s="17">
        <f>IF(OR($G67="",$D67="",$D67=0),"",$G67/$D67)</f>
        <v/>
      </c>
      <c r="I67" s="17">
        <f>IF(OR(Fundamentals!L67="",$E67="",$E67=0),"",Fundamentals!L67/$E67)</f>
        <v/>
      </c>
      <c r="J67" s="15">
        <f>Fundamentals!O67</f>
        <v/>
      </c>
      <c r="K67">
        <f>IF(OR($A67=""),"",IF(AND($C67&lt;&gt;"Growth",$F67&lt;&gt;"",$F67&lt;cfg_PBR_max,$G67&lt;&gt;"",$G67&gt;0,$J67&lt;&gt;"",$J67&gt;=cfg_Liq_min),1,0))</f>
        <v/>
      </c>
      <c r="L67">
        <f>IF($K67="","",IF($K67=1,"",(IF($C67="Growth","Market=Growth; ",""))&amp;(IF(OR($F67="",$F67&gt;=cfg_PBR_max),"PBR&gt;=max/missing; ",""))&amp;(IF(OR($G67="",$G67&lt;=0),"NetCash&lt;=0/missing; ",""))&amp;(IF(OR($J67="",$J67&lt;cfg_Liq_min),"Liquidity&lt;min/missing; ",""))))</f>
        <v/>
      </c>
      <c r="M67">
        <f>IF($A67="","",IF(OR($D67="",$E67="",Fundamentals!I67="",Fundamentals!K67="",$J67=""),1,0))</f>
        <v/>
      </c>
      <c r="N67">
        <f>Fundamentals!U67</f>
        <v/>
      </c>
    </row>
    <row r="68">
      <c r="A68">
        <f>Fundamentals!A68</f>
        <v/>
      </c>
      <c r="B68">
        <f>Fundamentals!B68</f>
        <v/>
      </c>
      <c r="C68">
        <f>Fundamentals!C68</f>
        <v/>
      </c>
      <c r="D68" s="15">
        <f>Fundamentals!G68</f>
        <v/>
      </c>
      <c r="E68" s="15">
        <f>Fundamentals!H68</f>
        <v/>
      </c>
      <c r="F68" s="16">
        <f>IF(OR($D68="",$E68="",$E68=0),"",$D68/$E68)</f>
        <v/>
      </c>
      <c r="G68" s="15">
        <f>IF(OR(Fundamentals!I68="",Fundamentals!J68="",Fundamentals!K68=""),"",Fundamentals!I68+Fundamentals!J68-Fundamentals!K68)</f>
        <v/>
      </c>
      <c r="H68" s="17">
        <f>IF(OR($G68="",$D68="",$D68=0),"",$G68/$D68)</f>
        <v/>
      </c>
      <c r="I68" s="17">
        <f>IF(OR(Fundamentals!L68="",$E68="",$E68=0),"",Fundamentals!L68/$E68)</f>
        <v/>
      </c>
      <c r="J68" s="15">
        <f>Fundamentals!O68</f>
        <v/>
      </c>
      <c r="K68">
        <f>IF(OR($A68=""),"",IF(AND($C68&lt;&gt;"Growth",$F68&lt;&gt;"",$F68&lt;cfg_PBR_max,$G68&lt;&gt;"",$G68&gt;0,$J68&lt;&gt;"",$J68&gt;=cfg_Liq_min),1,0))</f>
        <v/>
      </c>
      <c r="L68">
        <f>IF($K68="","",IF($K68=1,"",(IF($C68="Growth","Market=Growth; ",""))&amp;(IF(OR($F68="",$F68&gt;=cfg_PBR_max),"PBR&gt;=max/missing; ",""))&amp;(IF(OR($G68="",$G68&lt;=0),"NetCash&lt;=0/missing; ",""))&amp;(IF(OR($J68="",$J68&lt;cfg_Liq_min),"Liquidity&lt;min/missing; ",""))))</f>
        <v/>
      </c>
      <c r="M68">
        <f>IF($A68="","",IF(OR($D68="",$E68="",Fundamentals!I68="",Fundamentals!K68="",$J68=""),1,0))</f>
        <v/>
      </c>
      <c r="N68">
        <f>Fundamentals!U68</f>
        <v/>
      </c>
    </row>
    <row r="69">
      <c r="A69">
        <f>Fundamentals!A69</f>
        <v/>
      </c>
      <c r="B69">
        <f>Fundamentals!B69</f>
        <v/>
      </c>
      <c r="C69">
        <f>Fundamentals!C69</f>
        <v/>
      </c>
      <c r="D69" s="15">
        <f>Fundamentals!G69</f>
        <v/>
      </c>
      <c r="E69" s="15">
        <f>Fundamentals!H69</f>
        <v/>
      </c>
      <c r="F69" s="16">
        <f>IF(OR($D69="",$E69="",$E69=0),"",$D69/$E69)</f>
        <v/>
      </c>
      <c r="G69" s="15">
        <f>IF(OR(Fundamentals!I69="",Fundamentals!J69="",Fundamentals!K69=""),"",Fundamentals!I69+Fundamentals!J69-Fundamentals!K69)</f>
        <v/>
      </c>
      <c r="H69" s="17">
        <f>IF(OR($G69="",$D69="",$D69=0),"",$G69/$D69)</f>
        <v/>
      </c>
      <c r="I69" s="17">
        <f>IF(OR(Fundamentals!L69="",$E69="",$E69=0),"",Fundamentals!L69/$E69)</f>
        <v/>
      </c>
      <c r="J69" s="15">
        <f>Fundamentals!O69</f>
        <v/>
      </c>
      <c r="K69">
        <f>IF(OR($A69=""),"",IF(AND($C69&lt;&gt;"Growth",$F69&lt;&gt;"",$F69&lt;cfg_PBR_max,$G69&lt;&gt;"",$G69&gt;0,$J69&lt;&gt;"",$J69&gt;=cfg_Liq_min),1,0))</f>
        <v/>
      </c>
      <c r="L69">
        <f>IF($K69="","",IF($K69=1,"",(IF($C69="Growth","Market=Growth; ",""))&amp;(IF(OR($F69="",$F69&gt;=cfg_PBR_max),"PBR&gt;=max/missing; ",""))&amp;(IF(OR($G69="",$G69&lt;=0),"NetCash&lt;=0/missing; ",""))&amp;(IF(OR($J69="",$J69&lt;cfg_Liq_min),"Liquidity&lt;min/missing; ",""))))</f>
        <v/>
      </c>
      <c r="M69">
        <f>IF($A69="","",IF(OR($D69="",$E69="",Fundamentals!I69="",Fundamentals!K69="",$J69=""),1,0))</f>
        <v/>
      </c>
      <c r="N69">
        <f>Fundamentals!U69</f>
        <v/>
      </c>
    </row>
    <row r="70">
      <c r="A70">
        <f>Fundamentals!A70</f>
        <v/>
      </c>
      <c r="B70">
        <f>Fundamentals!B70</f>
        <v/>
      </c>
      <c r="C70">
        <f>Fundamentals!C70</f>
        <v/>
      </c>
      <c r="D70" s="15">
        <f>Fundamentals!G70</f>
        <v/>
      </c>
      <c r="E70" s="15">
        <f>Fundamentals!H70</f>
        <v/>
      </c>
      <c r="F70" s="16">
        <f>IF(OR($D70="",$E70="",$E70=0),"",$D70/$E70)</f>
        <v/>
      </c>
      <c r="G70" s="15">
        <f>IF(OR(Fundamentals!I70="",Fundamentals!J70="",Fundamentals!K70=""),"",Fundamentals!I70+Fundamentals!J70-Fundamentals!K70)</f>
        <v/>
      </c>
      <c r="H70" s="17">
        <f>IF(OR($G70="",$D70="",$D70=0),"",$G70/$D70)</f>
        <v/>
      </c>
      <c r="I70" s="17">
        <f>IF(OR(Fundamentals!L70="",$E70="",$E70=0),"",Fundamentals!L70/$E70)</f>
        <v/>
      </c>
      <c r="J70" s="15">
        <f>Fundamentals!O70</f>
        <v/>
      </c>
      <c r="K70">
        <f>IF(OR($A70=""),"",IF(AND($C70&lt;&gt;"Growth",$F70&lt;&gt;"",$F70&lt;cfg_PBR_max,$G70&lt;&gt;"",$G70&gt;0,$J70&lt;&gt;"",$J70&gt;=cfg_Liq_min),1,0))</f>
        <v/>
      </c>
      <c r="L70">
        <f>IF($K70="","",IF($K70=1,"",(IF($C70="Growth","Market=Growth; ",""))&amp;(IF(OR($F70="",$F70&gt;=cfg_PBR_max),"PBR&gt;=max/missing; ",""))&amp;(IF(OR($G70="",$G70&lt;=0),"NetCash&lt;=0/missing; ",""))&amp;(IF(OR($J70="",$J70&lt;cfg_Liq_min),"Liquidity&lt;min/missing; ",""))))</f>
        <v/>
      </c>
      <c r="M70">
        <f>IF($A70="","",IF(OR($D70="",$E70="",Fundamentals!I70="",Fundamentals!K70="",$J70=""),1,0))</f>
        <v/>
      </c>
      <c r="N70">
        <f>Fundamentals!U70</f>
        <v/>
      </c>
    </row>
    <row r="71">
      <c r="A71">
        <f>Fundamentals!A71</f>
        <v/>
      </c>
      <c r="B71">
        <f>Fundamentals!B71</f>
        <v/>
      </c>
      <c r="C71">
        <f>Fundamentals!C71</f>
        <v/>
      </c>
      <c r="D71" s="15">
        <f>Fundamentals!G71</f>
        <v/>
      </c>
      <c r="E71" s="15">
        <f>Fundamentals!H71</f>
        <v/>
      </c>
      <c r="F71" s="16">
        <f>IF(OR($D71="",$E71="",$E71=0),"",$D71/$E71)</f>
        <v/>
      </c>
      <c r="G71" s="15">
        <f>IF(OR(Fundamentals!I71="",Fundamentals!J71="",Fundamentals!K71=""),"",Fundamentals!I71+Fundamentals!J71-Fundamentals!K71)</f>
        <v/>
      </c>
      <c r="H71" s="17">
        <f>IF(OR($G71="",$D71="",$D71=0),"",$G71/$D71)</f>
        <v/>
      </c>
      <c r="I71" s="17">
        <f>IF(OR(Fundamentals!L71="",$E71="",$E71=0),"",Fundamentals!L71/$E71)</f>
        <v/>
      </c>
      <c r="J71" s="15">
        <f>Fundamentals!O71</f>
        <v/>
      </c>
      <c r="K71">
        <f>IF(OR($A71=""),"",IF(AND($C71&lt;&gt;"Growth",$F71&lt;&gt;"",$F71&lt;cfg_PBR_max,$G71&lt;&gt;"",$G71&gt;0,$J71&lt;&gt;"",$J71&gt;=cfg_Liq_min),1,0))</f>
        <v/>
      </c>
      <c r="L71">
        <f>IF($K71="","",IF($K71=1,"",(IF($C71="Growth","Market=Growth; ",""))&amp;(IF(OR($F71="",$F71&gt;=cfg_PBR_max),"PBR&gt;=max/missing; ",""))&amp;(IF(OR($G71="",$G71&lt;=0),"NetCash&lt;=0/missing; ",""))&amp;(IF(OR($J71="",$J71&lt;cfg_Liq_min),"Liquidity&lt;min/missing; ",""))))</f>
        <v/>
      </c>
      <c r="M71">
        <f>IF($A71="","",IF(OR($D71="",$E71="",Fundamentals!I71="",Fundamentals!K71="",$J71=""),1,0))</f>
        <v/>
      </c>
      <c r="N71">
        <f>Fundamentals!U71</f>
        <v/>
      </c>
    </row>
    <row r="72">
      <c r="A72">
        <f>Fundamentals!A72</f>
        <v/>
      </c>
      <c r="B72">
        <f>Fundamentals!B72</f>
        <v/>
      </c>
      <c r="C72">
        <f>Fundamentals!C72</f>
        <v/>
      </c>
      <c r="D72" s="15">
        <f>Fundamentals!G72</f>
        <v/>
      </c>
      <c r="E72" s="15">
        <f>Fundamentals!H72</f>
        <v/>
      </c>
      <c r="F72" s="16">
        <f>IF(OR($D72="",$E72="",$E72=0),"",$D72/$E72)</f>
        <v/>
      </c>
      <c r="G72" s="15">
        <f>IF(OR(Fundamentals!I72="",Fundamentals!J72="",Fundamentals!K72=""),"",Fundamentals!I72+Fundamentals!J72-Fundamentals!K72)</f>
        <v/>
      </c>
      <c r="H72" s="17">
        <f>IF(OR($G72="",$D72="",$D72=0),"",$G72/$D72)</f>
        <v/>
      </c>
      <c r="I72" s="17">
        <f>IF(OR(Fundamentals!L72="",$E72="",$E72=0),"",Fundamentals!L72/$E72)</f>
        <v/>
      </c>
      <c r="J72" s="15">
        <f>Fundamentals!O72</f>
        <v/>
      </c>
      <c r="K72">
        <f>IF(OR($A72=""),"",IF(AND($C72&lt;&gt;"Growth",$F72&lt;&gt;"",$F72&lt;cfg_PBR_max,$G72&lt;&gt;"",$G72&gt;0,$J72&lt;&gt;"",$J72&gt;=cfg_Liq_min),1,0))</f>
        <v/>
      </c>
      <c r="L72">
        <f>IF($K72="","",IF($K72=1,"",(IF($C72="Growth","Market=Growth; ",""))&amp;(IF(OR($F72="",$F72&gt;=cfg_PBR_max),"PBR&gt;=max/missing; ",""))&amp;(IF(OR($G72="",$G72&lt;=0),"NetCash&lt;=0/missing; ",""))&amp;(IF(OR($J72="",$J72&lt;cfg_Liq_min),"Liquidity&lt;min/missing; ",""))))</f>
        <v/>
      </c>
      <c r="M72">
        <f>IF($A72="","",IF(OR($D72="",$E72="",Fundamentals!I72="",Fundamentals!K72="",$J72=""),1,0))</f>
        <v/>
      </c>
      <c r="N72">
        <f>Fundamentals!U72</f>
        <v/>
      </c>
    </row>
    <row r="73">
      <c r="A73">
        <f>Fundamentals!A73</f>
        <v/>
      </c>
      <c r="B73">
        <f>Fundamentals!B73</f>
        <v/>
      </c>
      <c r="C73">
        <f>Fundamentals!C73</f>
        <v/>
      </c>
      <c r="D73" s="15">
        <f>Fundamentals!G73</f>
        <v/>
      </c>
      <c r="E73" s="15">
        <f>Fundamentals!H73</f>
        <v/>
      </c>
      <c r="F73" s="16">
        <f>IF(OR($D73="",$E73="",$E73=0),"",$D73/$E73)</f>
        <v/>
      </c>
      <c r="G73" s="15">
        <f>IF(OR(Fundamentals!I73="",Fundamentals!J73="",Fundamentals!K73=""),"",Fundamentals!I73+Fundamentals!J73-Fundamentals!K73)</f>
        <v/>
      </c>
      <c r="H73" s="17">
        <f>IF(OR($G73="",$D73="",$D73=0),"",$G73/$D73)</f>
        <v/>
      </c>
      <c r="I73" s="17">
        <f>IF(OR(Fundamentals!L73="",$E73="",$E73=0),"",Fundamentals!L73/$E73)</f>
        <v/>
      </c>
      <c r="J73" s="15">
        <f>Fundamentals!O73</f>
        <v/>
      </c>
      <c r="K73">
        <f>IF(OR($A73=""),"",IF(AND($C73&lt;&gt;"Growth",$F73&lt;&gt;"",$F73&lt;cfg_PBR_max,$G73&lt;&gt;"",$G73&gt;0,$J73&lt;&gt;"",$J73&gt;=cfg_Liq_min),1,0))</f>
        <v/>
      </c>
      <c r="L73">
        <f>IF($K73="","",IF($K73=1,"",(IF($C73="Growth","Market=Growth; ",""))&amp;(IF(OR($F73="",$F73&gt;=cfg_PBR_max),"PBR&gt;=max/missing; ",""))&amp;(IF(OR($G73="",$G73&lt;=0),"NetCash&lt;=0/missing; ",""))&amp;(IF(OR($J73="",$J73&lt;cfg_Liq_min),"Liquidity&lt;min/missing; ",""))))</f>
        <v/>
      </c>
      <c r="M73">
        <f>IF($A73="","",IF(OR($D73="",$E73="",Fundamentals!I73="",Fundamentals!K73="",$J73=""),1,0))</f>
        <v/>
      </c>
      <c r="N73">
        <f>Fundamentals!U73</f>
        <v/>
      </c>
    </row>
    <row r="74">
      <c r="A74">
        <f>Fundamentals!A74</f>
        <v/>
      </c>
      <c r="B74">
        <f>Fundamentals!B74</f>
        <v/>
      </c>
      <c r="C74">
        <f>Fundamentals!C74</f>
        <v/>
      </c>
      <c r="D74" s="15">
        <f>Fundamentals!G74</f>
        <v/>
      </c>
      <c r="E74" s="15">
        <f>Fundamentals!H74</f>
        <v/>
      </c>
      <c r="F74" s="16">
        <f>IF(OR($D74="",$E74="",$E74=0),"",$D74/$E74)</f>
        <v/>
      </c>
      <c r="G74" s="15">
        <f>IF(OR(Fundamentals!I74="",Fundamentals!J74="",Fundamentals!K74=""),"",Fundamentals!I74+Fundamentals!J74-Fundamentals!K74)</f>
        <v/>
      </c>
      <c r="H74" s="17">
        <f>IF(OR($G74="",$D74="",$D74=0),"",$G74/$D74)</f>
        <v/>
      </c>
      <c r="I74" s="17">
        <f>IF(OR(Fundamentals!L74="",$E74="",$E74=0),"",Fundamentals!L74/$E74)</f>
        <v/>
      </c>
      <c r="J74" s="15">
        <f>Fundamentals!O74</f>
        <v/>
      </c>
      <c r="K74">
        <f>IF(OR($A74=""),"",IF(AND($C74&lt;&gt;"Growth",$F74&lt;&gt;"",$F74&lt;cfg_PBR_max,$G74&lt;&gt;"",$G74&gt;0,$J74&lt;&gt;"",$J74&gt;=cfg_Liq_min),1,0))</f>
        <v/>
      </c>
      <c r="L74">
        <f>IF($K74="","",IF($K74=1,"",(IF($C74="Growth","Market=Growth; ",""))&amp;(IF(OR($F74="",$F74&gt;=cfg_PBR_max),"PBR&gt;=max/missing; ",""))&amp;(IF(OR($G74="",$G74&lt;=0),"NetCash&lt;=0/missing; ",""))&amp;(IF(OR($J74="",$J74&lt;cfg_Liq_min),"Liquidity&lt;min/missing; ",""))))</f>
        <v/>
      </c>
      <c r="M74">
        <f>IF($A74="","",IF(OR($D74="",$E74="",Fundamentals!I74="",Fundamentals!K74="",$J74=""),1,0))</f>
        <v/>
      </c>
      <c r="N74">
        <f>Fundamentals!U74</f>
        <v/>
      </c>
    </row>
    <row r="75">
      <c r="A75">
        <f>Fundamentals!A75</f>
        <v/>
      </c>
      <c r="B75">
        <f>Fundamentals!B75</f>
        <v/>
      </c>
      <c r="C75">
        <f>Fundamentals!C75</f>
        <v/>
      </c>
      <c r="D75" s="15">
        <f>Fundamentals!G75</f>
        <v/>
      </c>
      <c r="E75" s="15">
        <f>Fundamentals!H75</f>
        <v/>
      </c>
      <c r="F75" s="16">
        <f>IF(OR($D75="",$E75="",$E75=0),"",$D75/$E75)</f>
        <v/>
      </c>
      <c r="G75" s="15">
        <f>IF(OR(Fundamentals!I75="",Fundamentals!J75="",Fundamentals!K75=""),"",Fundamentals!I75+Fundamentals!J75-Fundamentals!K75)</f>
        <v/>
      </c>
      <c r="H75" s="17">
        <f>IF(OR($G75="",$D75="",$D75=0),"",$G75/$D75)</f>
        <v/>
      </c>
      <c r="I75" s="17">
        <f>IF(OR(Fundamentals!L75="",$E75="",$E75=0),"",Fundamentals!L75/$E75)</f>
        <v/>
      </c>
      <c r="J75" s="15">
        <f>Fundamentals!O75</f>
        <v/>
      </c>
      <c r="K75">
        <f>IF(OR($A75=""),"",IF(AND($C75&lt;&gt;"Growth",$F75&lt;&gt;"",$F75&lt;cfg_PBR_max,$G75&lt;&gt;"",$G75&gt;0,$J75&lt;&gt;"",$J75&gt;=cfg_Liq_min),1,0))</f>
        <v/>
      </c>
      <c r="L75">
        <f>IF($K75="","",IF($K75=1,"",(IF($C75="Growth","Market=Growth; ",""))&amp;(IF(OR($F75="",$F75&gt;=cfg_PBR_max),"PBR&gt;=max/missing; ",""))&amp;(IF(OR($G75="",$G75&lt;=0),"NetCash&lt;=0/missing; ",""))&amp;(IF(OR($J75="",$J75&lt;cfg_Liq_min),"Liquidity&lt;min/missing; ",""))))</f>
        <v/>
      </c>
      <c r="M75">
        <f>IF($A75="","",IF(OR($D75="",$E75="",Fundamentals!I75="",Fundamentals!K75="",$J75=""),1,0))</f>
        <v/>
      </c>
      <c r="N75">
        <f>Fundamentals!U75</f>
        <v/>
      </c>
    </row>
    <row r="76">
      <c r="A76">
        <f>Fundamentals!A76</f>
        <v/>
      </c>
      <c r="B76">
        <f>Fundamentals!B76</f>
        <v/>
      </c>
      <c r="C76">
        <f>Fundamentals!C76</f>
        <v/>
      </c>
      <c r="D76" s="15">
        <f>Fundamentals!G76</f>
        <v/>
      </c>
      <c r="E76" s="15">
        <f>Fundamentals!H76</f>
        <v/>
      </c>
      <c r="F76" s="16">
        <f>IF(OR($D76="",$E76="",$E76=0),"",$D76/$E76)</f>
        <v/>
      </c>
      <c r="G76" s="15">
        <f>IF(OR(Fundamentals!I76="",Fundamentals!J76="",Fundamentals!K76=""),"",Fundamentals!I76+Fundamentals!J76-Fundamentals!K76)</f>
        <v/>
      </c>
      <c r="H76" s="17">
        <f>IF(OR($G76="",$D76="",$D76=0),"",$G76/$D76)</f>
        <v/>
      </c>
      <c r="I76" s="17">
        <f>IF(OR(Fundamentals!L76="",$E76="",$E76=0),"",Fundamentals!L76/$E76)</f>
        <v/>
      </c>
      <c r="J76" s="15">
        <f>Fundamentals!O76</f>
        <v/>
      </c>
      <c r="K76">
        <f>IF(OR($A76=""),"",IF(AND($C76&lt;&gt;"Growth",$F76&lt;&gt;"",$F76&lt;cfg_PBR_max,$G76&lt;&gt;"",$G76&gt;0,$J76&lt;&gt;"",$J76&gt;=cfg_Liq_min),1,0))</f>
        <v/>
      </c>
      <c r="L76">
        <f>IF($K76="","",IF($K76=1,"",(IF($C76="Growth","Market=Growth; ",""))&amp;(IF(OR($F76="",$F76&gt;=cfg_PBR_max),"PBR&gt;=max/missing; ",""))&amp;(IF(OR($G76="",$G76&lt;=0),"NetCash&lt;=0/missing; ",""))&amp;(IF(OR($J76="",$J76&lt;cfg_Liq_min),"Liquidity&lt;min/missing; ",""))))</f>
        <v/>
      </c>
      <c r="M76">
        <f>IF($A76="","",IF(OR($D76="",$E76="",Fundamentals!I76="",Fundamentals!K76="",$J76=""),1,0))</f>
        <v/>
      </c>
      <c r="N76">
        <f>Fundamentals!U76</f>
        <v/>
      </c>
    </row>
    <row r="77">
      <c r="A77">
        <f>Fundamentals!A77</f>
        <v/>
      </c>
      <c r="B77">
        <f>Fundamentals!B77</f>
        <v/>
      </c>
      <c r="C77">
        <f>Fundamentals!C77</f>
        <v/>
      </c>
      <c r="D77" s="15">
        <f>Fundamentals!G77</f>
        <v/>
      </c>
      <c r="E77" s="15">
        <f>Fundamentals!H77</f>
        <v/>
      </c>
      <c r="F77" s="16">
        <f>IF(OR($D77="",$E77="",$E77=0),"",$D77/$E77)</f>
        <v/>
      </c>
      <c r="G77" s="15">
        <f>IF(OR(Fundamentals!I77="",Fundamentals!J77="",Fundamentals!K77=""),"",Fundamentals!I77+Fundamentals!J77-Fundamentals!K77)</f>
        <v/>
      </c>
      <c r="H77" s="17">
        <f>IF(OR($G77="",$D77="",$D77=0),"",$G77/$D77)</f>
        <v/>
      </c>
      <c r="I77" s="17">
        <f>IF(OR(Fundamentals!L77="",$E77="",$E77=0),"",Fundamentals!L77/$E77)</f>
        <v/>
      </c>
      <c r="J77" s="15">
        <f>Fundamentals!O77</f>
        <v/>
      </c>
      <c r="K77">
        <f>IF(OR($A77=""),"",IF(AND($C77&lt;&gt;"Growth",$F77&lt;&gt;"",$F77&lt;cfg_PBR_max,$G77&lt;&gt;"",$G77&gt;0,$J77&lt;&gt;"",$J77&gt;=cfg_Liq_min),1,0))</f>
        <v/>
      </c>
      <c r="L77">
        <f>IF($K77="","",IF($K77=1,"",(IF($C77="Growth","Market=Growth; ",""))&amp;(IF(OR($F77="",$F77&gt;=cfg_PBR_max),"PBR&gt;=max/missing; ",""))&amp;(IF(OR($G77="",$G77&lt;=0),"NetCash&lt;=0/missing; ",""))&amp;(IF(OR($J77="",$J77&lt;cfg_Liq_min),"Liquidity&lt;min/missing; ",""))))</f>
        <v/>
      </c>
      <c r="M77">
        <f>IF($A77="","",IF(OR($D77="",$E77="",Fundamentals!I77="",Fundamentals!K77="",$J77=""),1,0))</f>
        <v/>
      </c>
      <c r="N77">
        <f>Fundamentals!U77</f>
        <v/>
      </c>
    </row>
    <row r="78">
      <c r="A78">
        <f>Fundamentals!A78</f>
        <v/>
      </c>
      <c r="B78">
        <f>Fundamentals!B78</f>
        <v/>
      </c>
      <c r="C78">
        <f>Fundamentals!C78</f>
        <v/>
      </c>
      <c r="D78" s="15">
        <f>Fundamentals!G78</f>
        <v/>
      </c>
      <c r="E78" s="15">
        <f>Fundamentals!H78</f>
        <v/>
      </c>
      <c r="F78" s="16">
        <f>IF(OR($D78="",$E78="",$E78=0),"",$D78/$E78)</f>
        <v/>
      </c>
      <c r="G78" s="15">
        <f>IF(OR(Fundamentals!I78="",Fundamentals!J78="",Fundamentals!K78=""),"",Fundamentals!I78+Fundamentals!J78-Fundamentals!K78)</f>
        <v/>
      </c>
      <c r="H78" s="17">
        <f>IF(OR($G78="",$D78="",$D78=0),"",$G78/$D78)</f>
        <v/>
      </c>
      <c r="I78" s="17">
        <f>IF(OR(Fundamentals!L78="",$E78="",$E78=0),"",Fundamentals!L78/$E78)</f>
        <v/>
      </c>
      <c r="J78" s="15">
        <f>Fundamentals!O78</f>
        <v/>
      </c>
      <c r="K78">
        <f>IF(OR($A78=""),"",IF(AND($C78&lt;&gt;"Growth",$F78&lt;&gt;"",$F78&lt;cfg_PBR_max,$G78&lt;&gt;"",$G78&gt;0,$J78&lt;&gt;"",$J78&gt;=cfg_Liq_min),1,0))</f>
        <v/>
      </c>
      <c r="L78">
        <f>IF($K78="","",IF($K78=1,"",(IF($C78="Growth","Market=Growth; ",""))&amp;(IF(OR($F78="",$F78&gt;=cfg_PBR_max),"PBR&gt;=max/missing; ",""))&amp;(IF(OR($G78="",$G78&lt;=0),"NetCash&lt;=0/missing; ",""))&amp;(IF(OR($J78="",$J78&lt;cfg_Liq_min),"Liquidity&lt;min/missing; ",""))))</f>
        <v/>
      </c>
      <c r="M78">
        <f>IF($A78="","",IF(OR($D78="",$E78="",Fundamentals!I78="",Fundamentals!K78="",$J78=""),1,0))</f>
        <v/>
      </c>
      <c r="N78">
        <f>Fundamentals!U78</f>
        <v/>
      </c>
    </row>
    <row r="79">
      <c r="A79">
        <f>Fundamentals!A79</f>
        <v/>
      </c>
      <c r="B79">
        <f>Fundamentals!B79</f>
        <v/>
      </c>
      <c r="C79">
        <f>Fundamentals!C79</f>
        <v/>
      </c>
      <c r="D79" s="15">
        <f>Fundamentals!G79</f>
        <v/>
      </c>
      <c r="E79" s="15">
        <f>Fundamentals!H79</f>
        <v/>
      </c>
      <c r="F79" s="16">
        <f>IF(OR($D79="",$E79="",$E79=0),"",$D79/$E79)</f>
        <v/>
      </c>
      <c r="G79" s="15">
        <f>IF(OR(Fundamentals!I79="",Fundamentals!J79="",Fundamentals!K79=""),"",Fundamentals!I79+Fundamentals!J79-Fundamentals!K79)</f>
        <v/>
      </c>
      <c r="H79" s="17">
        <f>IF(OR($G79="",$D79="",$D79=0),"",$G79/$D79)</f>
        <v/>
      </c>
      <c r="I79" s="17">
        <f>IF(OR(Fundamentals!L79="",$E79="",$E79=0),"",Fundamentals!L79/$E79)</f>
        <v/>
      </c>
      <c r="J79" s="15">
        <f>Fundamentals!O79</f>
        <v/>
      </c>
      <c r="K79">
        <f>IF(OR($A79=""),"",IF(AND($C79&lt;&gt;"Growth",$F79&lt;&gt;"",$F79&lt;cfg_PBR_max,$G79&lt;&gt;"",$G79&gt;0,$J79&lt;&gt;"",$J79&gt;=cfg_Liq_min),1,0))</f>
        <v/>
      </c>
      <c r="L79">
        <f>IF($K79="","",IF($K79=1,"",(IF($C79="Growth","Market=Growth; ",""))&amp;(IF(OR($F79="",$F79&gt;=cfg_PBR_max),"PBR&gt;=max/missing; ",""))&amp;(IF(OR($G79="",$G79&lt;=0),"NetCash&lt;=0/missing; ",""))&amp;(IF(OR($J79="",$J79&lt;cfg_Liq_min),"Liquidity&lt;min/missing; ",""))))</f>
        <v/>
      </c>
      <c r="M79">
        <f>IF($A79="","",IF(OR($D79="",$E79="",Fundamentals!I79="",Fundamentals!K79="",$J79=""),1,0))</f>
        <v/>
      </c>
      <c r="N79">
        <f>Fundamentals!U79</f>
        <v/>
      </c>
    </row>
    <row r="80">
      <c r="A80">
        <f>Fundamentals!A80</f>
        <v/>
      </c>
      <c r="B80">
        <f>Fundamentals!B80</f>
        <v/>
      </c>
      <c r="C80">
        <f>Fundamentals!C80</f>
        <v/>
      </c>
      <c r="D80" s="15">
        <f>Fundamentals!G80</f>
        <v/>
      </c>
      <c r="E80" s="15">
        <f>Fundamentals!H80</f>
        <v/>
      </c>
      <c r="F80" s="16">
        <f>IF(OR($D80="",$E80="",$E80=0),"",$D80/$E80)</f>
        <v/>
      </c>
      <c r="G80" s="15">
        <f>IF(OR(Fundamentals!I80="",Fundamentals!J80="",Fundamentals!K80=""),"",Fundamentals!I80+Fundamentals!J80-Fundamentals!K80)</f>
        <v/>
      </c>
      <c r="H80" s="17">
        <f>IF(OR($G80="",$D80="",$D80=0),"",$G80/$D80)</f>
        <v/>
      </c>
      <c r="I80" s="17">
        <f>IF(OR(Fundamentals!L80="",$E80="",$E80=0),"",Fundamentals!L80/$E80)</f>
        <v/>
      </c>
      <c r="J80" s="15">
        <f>Fundamentals!O80</f>
        <v/>
      </c>
      <c r="K80">
        <f>IF(OR($A80=""),"",IF(AND($C80&lt;&gt;"Growth",$F80&lt;&gt;"",$F80&lt;cfg_PBR_max,$G80&lt;&gt;"",$G80&gt;0,$J80&lt;&gt;"",$J80&gt;=cfg_Liq_min),1,0))</f>
        <v/>
      </c>
      <c r="L80">
        <f>IF($K80="","",IF($K80=1,"",(IF($C80="Growth","Market=Growth; ",""))&amp;(IF(OR($F80="",$F80&gt;=cfg_PBR_max),"PBR&gt;=max/missing; ",""))&amp;(IF(OR($G80="",$G80&lt;=0),"NetCash&lt;=0/missing; ",""))&amp;(IF(OR($J80="",$J80&lt;cfg_Liq_min),"Liquidity&lt;min/missing; ",""))))</f>
        <v/>
      </c>
      <c r="M80">
        <f>IF($A80="","",IF(OR($D80="",$E80="",Fundamentals!I80="",Fundamentals!K80="",$J80=""),1,0))</f>
        <v/>
      </c>
      <c r="N80">
        <f>Fundamentals!U80</f>
        <v/>
      </c>
    </row>
    <row r="81">
      <c r="A81">
        <f>Fundamentals!A81</f>
        <v/>
      </c>
      <c r="B81">
        <f>Fundamentals!B81</f>
        <v/>
      </c>
      <c r="C81">
        <f>Fundamentals!C81</f>
        <v/>
      </c>
      <c r="D81" s="15">
        <f>Fundamentals!G81</f>
        <v/>
      </c>
      <c r="E81" s="15">
        <f>Fundamentals!H81</f>
        <v/>
      </c>
      <c r="F81" s="16">
        <f>IF(OR($D81="",$E81="",$E81=0),"",$D81/$E81)</f>
        <v/>
      </c>
      <c r="G81" s="15">
        <f>IF(OR(Fundamentals!I81="",Fundamentals!J81="",Fundamentals!K81=""),"",Fundamentals!I81+Fundamentals!J81-Fundamentals!K81)</f>
        <v/>
      </c>
      <c r="H81" s="17">
        <f>IF(OR($G81="",$D81="",$D81=0),"",$G81/$D81)</f>
        <v/>
      </c>
      <c r="I81" s="17">
        <f>IF(OR(Fundamentals!L81="",$E81="",$E81=0),"",Fundamentals!L81/$E81)</f>
        <v/>
      </c>
      <c r="J81" s="15">
        <f>Fundamentals!O81</f>
        <v/>
      </c>
      <c r="K81">
        <f>IF(OR($A81=""),"",IF(AND($C81&lt;&gt;"Growth",$F81&lt;&gt;"",$F81&lt;cfg_PBR_max,$G81&lt;&gt;"",$G81&gt;0,$J81&lt;&gt;"",$J81&gt;=cfg_Liq_min),1,0))</f>
        <v/>
      </c>
      <c r="L81">
        <f>IF($K81="","",IF($K81=1,"",(IF($C81="Growth","Market=Growth; ",""))&amp;(IF(OR($F81="",$F81&gt;=cfg_PBR_max),"PBR&gt;=max/missing; ",""))&amp;(IF(OR($G81="",$G81&lt;=0),"NetCash&lt;=0/missing; ",""))&amp;(IF(OR($J81="",$J81&lt;cfg_Liq_min),"Liquidity&lt;min/missing; ",""))))</f>
        <v/>
      </c>
      <c r="M81">
        <f>IF($A81="","",IF(OR($D81="",$E81="",Fundamentals!I81="",Fundamentals!K81="",$J81=""),1,0))</f>
        <v/>
      </c>
      <c r="N81">
        <f>Fundamentals!U81</f>
        <v/>
      </c>
    </row>
    <row r="82">
      <c r="A82">
        <f>Fundamentals!A82</f>
        <v/>
      </c>
      <c r="B82">
        <f>Fundamentals!B82</f>
        <v/>
      </c>
      <c r="C82">
        <f>Fundamentals!C82</f>
        <v/>
      </c>
      <c r="D82" s="15">
        <f>Fundamentals!G82</f>
        <v/>
      </c>
      <c r="E82" s="15">
        <f>Fundamentals!H82</f>
        <v/>
      </c>
      <c r="F82" s="16">
        <f>IF(OR($D82="",$E82="",$E82=0),"",$D82/$E82)</f>
        <v/>
      </c>
      <c r="G82" s="15">
        <f>IF(OR(Fundamentals!I82="",Fundamentals!J82="",Fundamentals!K82=""),"",Fundamentals!I82+Fundamentals!J82-Fundamentals!K82)</f>
        <v/>
      </c>
      <c r="H82" s="17">
        <f>IF(OR($G82="",$D82="",$D82=0),"",$G82/$D82)</f>
        <v/>
      </c>
      <c r="I82" s="17">
        <f>IF(OR(Fundamentals!L82="",$E82="",$E82=0),"",Fundamentals!L82/$E82)</f>
        <v/>
      </c>
      <c r="J82" s="15">
        <f>Fundamentals!O82</f>
        <v/>
      </c>
      <c r="K82">
        <f>IF(OR($A82=""),"",IF(AND($C82&lt;&gt;"Growth",$F82&lt;&gt;"",$F82&lt;cfg_PBR_max,$G82&lt;&gt;"",$G82&gt;0,$J82&lt;&gt;"",$J82&gt;=cfg_Liq_min),1,0))</f>
        <v/>
      </c>
      <c r="L82">
        <f>IF($K82="","",IF($K82=1,"",(IF($C82="Growth","Market=Growth; ",""))&amp;(IF(OR($F82="",$F82&gt;=cfg_PBR_max),"PBR&gt;=max/missing; ",""))&amp;(IF(OR($G82="",$G82&lt;=0),"NetCash&lt;=0/missing; ",""))&amp;(IF(OR($J82="",$J82&lt;cfg_Liq_min),"Liquidity&lt;min/missing; ",""))))</f>
        <v/>
      </c>
      <c r="M82">
        <f>IF($A82="","",IF(OR($D82="",$E82="",Fundamentals!I82="",Fundamentals!K82="",$J82=""),1,0))</f>
        <v/>
      </c>
      <c r="N82">
        <f>Fundamentals!U82</f>
        <v/>
      </c>
    </row>
    <row r="83">
      <c r="A83">
        <f>Fundamentals!A83</f>
        <v/>
      </c>
      <c r="B83">
        <f>Fundamentals!B83</f>
        <v/>
      </c>
      <c r="C83">
        <f>Fundamentals!C83</f>
        <v/>
      </c>
      <c r="D83" s="15">
        <f>Fundamentals!G83</f>
        <v/>
      </c>
      <c r="E83" s="15">
        <f>Fundamentals!H83</f>
        <v/>
      </c>
      <c r="F83" s="16">
        <f>IF(OR($D83="",$E83="",$E83=0),"",$D83/$E83)</f>
        <v/>
      </c>
      <c r="G83" s="15">
        <f>IF(OR(Fundamentals!I83="",Fundamentals!J83="",Fundamentals!K83=""),"",Fundamentals!I83+Fundamentals!J83-Fundamentals!K83)</f>
        <v/>
      </c>
      <c r="H83" s="17">
        <f>IF(OR($G83="",$D83="",$D83=0),"",$G83/$D83)</f>
        <v/>
      </c>
      <c r="I83" s="17">
        <f>IF(OR(Fundamentals!L83="",$E83="",$E83=0),"",Fundamentals!L83/$E83)</f>
        <v/>
      </c>
      <c r="J83" s="15">
        <f>Fundamentals!O83</f>
        <v/>
      </c>
      <c r="K83">
        <f>IF(OR($A83=""),"",IF(AND($C83&lt;&gt;"Growth",$F83&lt;&gt;"",$F83&lt;cfg_PBR_max,$G83&lt;&gt;"",$G83&gt;0,$J83&lt;&gt;"",$J83&gt;=cfg_Liq_min),1,0))</f>
        <v/>
      </c>
      <c r="L83">
        <f>IF($K83="","",IF($K83=1,"",(IF($C83="Growth","Market=Growth; ",""))&amp;(IF(OR($F83="",$F83&gt;=cfg_PBR_max),"PBR&gt;=max/missing; ",""))&amp;(IF(OR($G83="",$G83&lt;=0),"NetCash&lt;=0/missing; ",""))&amp;(IF(OR($J83="",$J83&lt;cfg_Liq_min),"Liquidity&lt;min/missing; ",""))))</f>
        <v/>
      </c>
      <c r="M83">
        <f>IF($A83="","",IF(OR($D83="",$E83="",Fundamentals!I83="",Fundamentals!K83="",$J83=""),1,0))</f>
        <v/>
      </c>
      <c r="N83">
        <f>Fundamentals!U83</f>
        <v/>
      </c>
    </row>
    <row r="84">
      <c r="A84">
        <f>Fundamentals!A84</f>
        <v/>
      </c>
      <c r="B84">
        <f>Fundamentals!B84</f>
        <v/>
      </c>
      <c r="C84">
        <f>Fundamentals!C84</f>
        <v/>
      </c>
      <c r="D84" s="15">
        <f>Fundamentals!G84</f>
        <v/>
      </c>
      <c r="E84" s="15">
        <f>Fundamentals!H84</f>
        <v/>
      </c>
      <c r="F84" s="16">
        <f>IF(OR($D84="",$E84="",$E84=0),"",$D84/$E84)</f>
        <v/>
      </c>
      <c r="G84" s="15">
        <f>IF(OR(Fundamentals!I84="",Fundamentals!J84="",Fundamentals!K84=""),"",Fundamentals!I84+Fundamentals!J84-Fundamentals!K84)</f>
        <v/>
      </c>
      <c r="H84" s="17">
        <f>IF(OR($G84="",$D84="",$D84=0),"",$G84/$D84)</f>
        <v/>
      </c>
      <c r="I84" s="17">
        <f>IF(OR(Fundamentals!L84="",$E84="",$E84=0),"",Fundamentals!L84/$E84)</f>
        <v/>
      </c>
      <c r="J84" s="15">
        <f>Fundamentals!O84</f>
        <v/>
      </c>
      <c r="K84">
        <f>IF(OR($A84=""),"",IF(AND($C84&lt;&gt;"Growth",$F84&lt;&gt;"",$F84&lt;cfg_PBR_max,$G84&lt;&gt;"",$G84&gt;0,$J84&lt;&gt;"",$J84&gt;=cfg_Liq_min),1,0))</f>
        <v/>
      </c>
      <c r="L84">
        <f>IF($K84="","",IF($K84=1,"",(IF($C84="Growth","Market=Growth; ",""))&amp;(IF(OR($F84="",$F84&gt;=cfg_PBR_max),"PBR&gt;=max/missing; ",""))&amp;(IF(OR($G84="",$G84&lt;=0),"NetCash&lt;=0/missing; ",""))&amp;(IF(OR($J84="",$J84&lt;cfg_Liq_min),"Liquidity&lt;min/missing; ",""))))</f>
        <v/>
      </c>
      <c r="M84">
        <f>IF($A84="","",IF(OR($D84="",$E84="",Fundamentals!I84="",Fundamentals!K84="",$J84=""),1,0))</f>
        <v/>
      </c>
      <c r="N84">
        <f>Fundamentals!U84</f>
        <v/>
      </c>
    </row>
    <row r="85">
      <c r="A85">
        <f>Fundamentals!A85</f>
        <v/>
      </c>
      <c r="B85">
        <f>Fundamentals!B85</f>
        <v/>
      </c>
      <c r="C85">
        <f>Fundamentals!C85</f>
        <v/>
      </c>
      <c r="D85" s="15">
        <f>Fundamentals!G85</f>
        <v/>
      </c>
      <c r="E85" s="15">
        <f>Fundamentals!H85</f>
        <v/>
      </c>
      <c r="F85" s="16">
        <f>IF(OR($D85="",$E85="",$E85=0),"",$D85/$E85)</f>
        <v/>
      </c>
      <c r="G85" s="15">
        <f>IF(OR(Fundamentals!I85="",Fundamentals!J85="",Fundamentals!K85=""),"",Fundamentals!I85+Fundamentals!J85-Fundamentals!K85)</f>
        <v/>
      </c>
      <c r="H85" s="17">
        <f>IF(OR($G85="",$D85="",$D85=0),"",$G85/$D85)</f>
        <v/>
      </c>
      <c r="I85" s="17">
        <f>IF(OR(Fundamentals!L85="",$E85="",$E85=0),"",Fundamentals!L85/$E85)</f>
        <v/>
      </c>
      <c r="J85" s="15">
        <f>Fundamentals!O85</f>
        <v/>
      </c>
      <c r="K85">
        <f>IF(OR($A85=""),"",IF(AND($C85&lt;&gt;"Growth",$F85&lt;&gt;"",$F85&lt;cfg_PBR_max,$G85&lt;&gt;"",$G85&gt;0,$J85&lt;&gt;"",$J85&gt;=cfg_Liq_min),1,0))</f>
        <v/>
      </c>
      <c r="L85">
        <f>IF($K85="","",IF($K85=1,"",(IF($C85="Growth","Market=Growth; ",""))&amp;(IF(OR($F85="",$F85&gt;=cfg_PBR_max),"PBR&gt;=max/missing; ",""))&amp;(IF(OR($G85="",$G85&lt;=0),"NetCash&lt;=0/missing; ",""))&amp;(IF(OR($J85="",$J85&lt;cfg_Liq_min),"Liquidity&lt;min/missing; ",""))))</f>
        <v/>
      </c>
      <c r="M85">
        <f>IF($A85="","",IF(OR($D85="",$E85="",Fundamentals!I85="",Fundamentals!K85="",$J85=""),1,0))</f>
        <v/>
      </c>
      <c r="N85">
        <f>Fundamentals!U85</f>
        <v/>
      </c>
    </row>
    <row r="86">
      <c r="A86">
        <f>Fundamentals!A86</f>
        <v/>
      </c>
      <c r="B86">
        <f>Fundamentals!B86</f>
        <v/>
      </c>
      <c r="C86">
        <f>Fundamentals!C86</f>
        <v/>
      </c>
      <c r="D86" s="15">
        <f>Fundamentals!G86</f>
        <v/>
      </c>
      <c r="E86" s="15">
        <f>Fundamentals!H86</f>
        <v/>
      </c>
      <c r="F86" s="16">
        <f>IF(OR($D86="",$E86="",$E86=0),"",$D86/$E86)</f>
        <v/>
      </c>
      <c r="G86" s="15">
        <f>IF(OR(Fundamentals!I86="",Fundamentals!J86="",Fundamentals!K86=""),"",Fundamentals!I86+Fundamentals!J86-Fundamentals!K86)</f>
        <v/>
      </c>
      <c r="H86" s="17">
        <f>IF(OR($G86="",$D86="",$D86=0),"",$G86/$D86)</f>
        <v/>
      </c>
      <c r="I86" s="17">
        <f>IF(OR(Fundamentals!L86="",$E86="",$E86=0),"",Fundamentals!L86/$E86)</f>
        <v/>
      </c>
      <c r="J86" s="15">
        <f>Fundamentals!O86</f>
        <v/>
      </c>
      <c r="K86">
        <f>IF(OR($A86=""),"",IF(AND($C86&lt;&gt;"Growth",$F86&lt;&gt;"",$F86&lt;cfg_PBR_max,$G86&lt;&gt;"",$G86&gt;0,$J86&lt;&gt;"",$J86&gt;=cfg_Liq_min),1,0))</f>
        <v/>
      </c>
      <c r="L86">
        <f>IF($K86="","",IF($K86=1,"",(IF($C86="Growth","Market=Growth; ",""))&amp;(IF(OR($F86="",$F86&gt;=cfg_PBR_max),"PBR&gt;=max/missing; ",""))&amp;(IF(OR($G86="",$G86&lt;=0),"NetCash&lt;=0/missing; ",""))&amp;(IF(OR($J86="",$J86&lt;cfg_Liq_min),"Liquidity&lt;min/missing; ",""))))</f>
        <v/>
      </c>
      <c r="M86">
        <f>IF($A86="","",IF(OR($D86="",$E86="",Fundamentals!I86="",Fundamentals!K86="",$J86=""),1,0))</f>
        <v/>
      </c>
      <c r="N86">
        <f>Fundamentals!U86</f>
        <v/>
      </c>
    </row>
    <row r="87">
      <c r="A87">
        <f>Fundamentals!A87</f>
        <v/>
      </c>
      <c r="B87">
        <f>Fundamentals!B87</f>
        <v/>
      </c>
      <c r="C87">
        <f>Fundamentals!C87</f>
        <v/>
      </c>
      <c r="D87" s="15">
        <f>Fundamentals!G87</f>
        <v/>
      </c>
      <c r="E87" s="15">
        <f>Fundamentals!H87</f>
        <v/>
      </c>
      <c r="F87" s="16">
        <f>IF(OR($D87="",$E87="",$E87=0),"",$D87/$E87)</f>
        <v/>
      </c>
      <c r="G87" s="15">
        <f>IF(OR(Fundamentals!I87="",Fundamentals!J87="",Fundamentals!K87=""),"",Fundamentals!I87+Fundamentals!J87-Fundamentals!K87)</f>
        <v/>
      </c>
      <c r="H87" s="17">
        <f>IF(OR($G87="",$D87="",$D87=0),"",$G87/$D87)</f>
        <v/>
      </c>
      <c r="I87" s="17">
        <f>IF(OR(Fundamentals!L87="",$E87="",$E87=0),"",Fundamentals!L87/$E87)</f>
        <v/>
      </c>
      <c r="J87" s="15">
        <f>Fundamentals!O87</f>
        <v/>
      </c>
      <c r="K87">
        <f>IF(OR($A87=""),"",IF(AND($C87&lt;&gt;"Growth",$F87&lt;&gt;"",$F87&lt;cfg_PBR_max,$G87&lt;&gt;"",$G87&gt;0,$J87&lt;&gt;"",$J87&gt;=cfg_Liq_min),1,0))</f>
        <v/>
      </c>
      <c r="L87">
        <f>IF($K87="","",IF($K87=1,"",(IF($C87="Growth","Market=Growth; ",""))&amp;(IF(OR($F87="",$F87&gt;=cfg_PBR_max),"PBR&gt;=max/missing; ",""))&amp;(IF(OR($G87="",$G87&lt;=0),"NetCash&lt;=0/missing; ",""))&amp;(IF(OR($J87="",$J87&lt;cfg_Liq_min),"Liquidity&lt;min/missing; ",""))))</f>
        <v/>
      </c>
      <c r="M87">
        <f>IF($A87="","",IF(OR($D87="",$E87="",Fundamentals!I87="",Fundamentals!K87="",$J87=""),1,0))</f>
        <v/>
      </c>
      <c r="N87">
        <f>Fundamentals!U87</f>
        <v/>
      </c>
    </row>
    <row r="88">
      <c r="A88">
        <f>Fundamentals!A88</f>
        <v/>
      </c>
      <c r="B88">
        <f>Fundamentals!B88</f>
        <v/>
      </c>
      <c r="C88">
        <f>Fundamentals!C88</f>
        <v/>
      </c>
      <c r="D88" s="15">
        <f>Fundamentals!G88</f>
        <v/>
      </c>
      <c r="E88" s="15">
        <f>Fundamentals!H88</f>
        <v/>
      </c>
      <c r="F88" s="16">
        <f>IF(OR($D88="",$E88="",$E88=0),"",$D88/$E88)</f>
        <v/>
      </c>
      <c r="G88" s="15">
        <f>IF(OR(Fundamentals!I88="",Fundamentals!J88="",Fundamentals!K88=""),"",Fundamentals!I88+Fundamentals!J88-Fundamentals!K88)</f>
        <v/>
      </c>
      <c r="H88" s="17">
        <f>IF(OR($G88="",$D88="",$D88=0),"",$G88/$D88)</f>
        <v/>
      </c>
      <c r="I88" s="17">
        <f>IF(OR(Fundamentals!L88="",$E88="",$E88=0),"",Fundamentals!L88/$E88)</f>
        <v/>
      </c>
      <c r="J88" s="15">
        <f>Fundamentals!O88</f>
        <v/>
      </c>
      <c r="K88">
        <f>IF(OR($A88=""),"",IF(AND($C88&lt;&gt;"Growth",$F88&lt;&gt;"",$F88&lt;cfg_PBR_max,$G88&lt;&gt;"",$G88&gt;0,$J88&lt;&gt;"",$J88&gt;=cfg_Liq_min),1,0))</f>
        <v/>
      </c>
      <c r="L88">
        <f>IF($K88="","",IF($K88=1,"",(IF($C88="Growth","Market=Growth; ",""))&amp;(IF(OR($F88="",$F88&gt;=cfg_PBR_max),"PBR&gt;=max/missing; ",""))&amp;(IF(OR($G88="",$G88&lt;=0),"NetCash&lt;=0/missing; ",""))&amp;(IF(OR($J88="",$J88&lt;cfg_Liq_min),"Liquidity&lt;min/missing; ",""))))</f>
        <v/>
      </c>
      <c r="M88">
        <f>IF($A88="","",IF(OR($D88="",$E88="",Fundamentals!I88="",Fundamentals!K88="",$J88=""),1,0))</f>
        <v/>
      </c>
      <c r="N88">
        <f>Fundamentals!U88</f>
        <v/>
      </c>
    </row>
    <row r="89">
      <c r="A89">
        <f>Fundamentals!A89</f>
        <v/>
      </c>
      <c r="B89">
        <f>Fundamentals!B89</f>
        <v/>
      </c>
      <c r="C89">
        <f>Fundamentals!C89</f>
        <v/>
      </c>
      <c r="D89" s="15">
        <f>Fundamentals!G89</f>
        <v/>
      </c>
      <c r="E89" s="15">
        <f>Fundamentals!H89</f>
        <v/>
      </c>
      <c r="F89" s="16">
        <f>IF(OR($D89="",$E89="",$E89=0),"",$D89/$E89)</f>
        <v/>
      </c>
      <c r="G89" s="15">
        <f>IF(OR(Fundamentals!I89="",Fundamentals!J89="",Fundamentals!K89=""),"",Fundamentals!I89+Fundamentals!J89-Fundamentals!K89)</f>
        <v/>
      </c>
      <c r="H89" s="17">
        <f>IF(OR($G89="",$D89="",$D89=0),"",$G89/$D89)</f>
        <v/>
      </c>
      <c r="I89" s="17">
        <f>IF(OR(Fundamentals!L89="",$E89="",$E89=0),"",Fundamentals!L89/$E89)</f>
        <v/>
      </c>
      <c r="J89" s="15">
        <f>Fundamentals!O89</f>
        <v/>
      </c>
      <c r="K89">
        <f>IF(OR($A89=""),"",IF(AND($C89&lt;&gt;"Growth",$F89&lt;&gt;"",$F89&lt;cfg_PBR_max,$G89&lt;&gt;"",$G89&gt;0,$J89&lt;&gt;"",$J89&gt;=cfg_Liq_min),1,0))</f>
        <v/>
      </c>
      <c r="L89">
        <f>IF($K89="","",IF($K89=1,"",(IF($C89="Growth","Market=Growth; ",""))&amp;(IF(OR($F89="",$F89&gt;=cfg_PBR_max),"PBR&gt;=max/missing; ",""))&amp;(IF(OR($G89="",$G89&lt;=0),"NetCash&lt;=0/missing; ",""))&amp;(IF(OR($J89="",$J89&lt;cfg_Liq_min),"Liquidity&lt;min/missing; ",""))))</f>
        <v/>
      </c>
      <c r="M89">
        <f>IF($A89="","",IF(OR($D89="",$E89="",Fundamentals!I89="",Fundamentals!K89="",$J89=""),1,0))</f>
        <v/>
      </c>
      <c r="N89">
        <f>Fundamentals!U89</f>
        <v/>
      </c>
    </row>
    <row r="90">
      <c r="A90">
        <f>Fundamentals!A90</f>
        <v/>
      </c>
      <c r="B90">
        <f>Fundamentals!B90</f>
        <v/>
      </c>
      <c r="C90">
        <f>Fundamentals!C90</f>
        <v/>
      </c>
      <c r="D90" s="15">
        <f>Fundamentals!G90</f>
        <v/>
      </c>
      <c r="E90" s="15">
        <f>Fundamentals!H90</f>
        <v/>
      </c>
      <c r="F90" s="16">
        <f>IF(OR($D90="",$E90="",$E90=0),"",$D90/$E90)</f>
        <v/>
      </c>
      <c r="G90" s="15">
        <f>IF(OR(Fundamentals!I90="",Fundamentals!J90="",Fundamentals!K90=""),"",Fundamentals!I90+Fundamentals!J90-Fundamentals!K90)</f>
        <v/>
      </c>
      <c r="H90" s="17">
        <f>IF(OR($G90="",$D90="",$D90=0),"",$G90/$D90)</f>
        <v/>
      </c>
      <c r="I90" s="17">
        <f>IF(OR(Fundamentals!L90="",$E90="",$E90=0),"",Fundamentals!L90/$E90)</f>
        <v/>
      </c>
      <c r="J90" s="15">
        <f>Fundamentals!O90</f>
        <v/>
      </c>
      <c r="K90">
        <f>IF(OR($A90=""),"",IF(AND($C90&lt;&gt;"Growth",$F90&lt;&gt;"",$F90&lt;cfg_PBR_max,$G90&lt;&gt;"",$G90&gt;0,$J90&lt;&gt;"",$J90&gt;=cfg_Liq_min),1,0))</f>
        <v/>
      </c>
      <c r="L90">
        <f>IF($K90="","",IF($K90=1,"",(IF($C90="Growth","Market=Growth; ",""))&amp;(IF(OR($F90="",$F90&gt;=cfg_PBR_max),"PBR&gt;=max/missing; ",""))&amp;(IF(OR($G90="",$G90&lt;=0),"NetCash&lt;=0/missing; ",""))&amp;(IF(OR($J90="",$J90&lt;cfg_Liq_min),"Liquidity&lt;min/missing; ",""))))</f>
        <v/>
      </c>
      <c r="M90">
        <f>IF($A90="","",IF(OR($D90="",$E90="",Fundamentals!I90="",Fundamentals!K90="",$J90=""),1,0))</f>
        <v/>
      </c>
      <c r="N90">
        <f>Fundamentals!U90</f>
        <v/>
      </c>
    </row>
    <row r="91">
      <c r="A91">
        <f>Fundamentals!A91</f>
        <v/>
      </c>
      <c r="B91">
        <f>Fundamentals!B91</f>
        <v/>
      </c>
      <c r="C91">
        <f>Fundamentals!C91</f>
        <v/>
      </c>
      <c r="D91" s="15">
        <f>Fundamentals!G91</f>
        <v/>
      </c>
      <c r="E91" s="15">
        <f>Fundamentals!H91</f>
        <v/>
      </c>
      <c r="F91" s="16">
        <f>IF(OR($D91="",$E91="",$E91=0),"",$D91/$E91)</f>
        <v/>
      </c>
      <c r="G91" s="15">
        <f>IF(OR(Fundamentals!I91="",Fundamentals!J91="",Fundamentals!K91=""),"",Fundamentals!I91+Fundamentals!J91-Fundamentals!K91)</f>
        <v/>
      </c>
      <c r="H91" s="17">
        <f>IF(OR($G91="",$D91="",$D91=0),"",$G91/$D91)</f>
        <v/>
      </c>
      <c r="I91" s="17">
        <f>IF(OR(Fundamentals!L91="",$E91="",$E91=0),"",Fundamentals!L91/$E91)</f>
        <v/>
      </c>
      <c r="J91" s="15">
        <f>Fundamentals!O91</f>
        <v/>
      </c>
      <c r="K91">
        <f>IF(OR($A91=""),"",IF(AND($C91&lt;&gt;"Growth",$F91&lt;&gt;"",$F91&lt;cfg_PBR_max,$G91&lt;&gt;"",$G91&gt;0,$J91&lt;&gt;"",$J91&gt;=cfg_Liq_min),1,0))</f>
        <v/>
      </c>
      <c r="L91">
        <f>IF($K91="","",IF($K91=1,"",(IF($C91="Growth","Market=Growth; ",""))&amp;(IF(OR($F91="",$F91&gt;=cfg_PBR_max),"PBR&gt;=max/missing; ",""))&amp;(IF(OR($G91="",$G91&lt;=0),"NetCash&lt;=0/missing; ",""))&amp;(IF(OR($J91="",$J91&lt;cfg_Liq_min),"Liquidity&lt;min/missing; ",""))))</f>
        <v/>
      </c>
      <c r="M91">
        <f>IF($A91="","",IF(OR($D91="",$E91="",Fundamentals!I91="",Fundamentals!K91="",$J91=""),1,0))</f>
        <v/>
      </c>
      <c r="N91">
        <f>Fundamentals!U91</f>
        <v/>
      </c>
    </row>
    <row r="92">
      <c r="A92">
        <f>Fundamentals!A92</f>
        <v/>
      </c>
      <c r="B92">
        <f>Fundamentals!B92</f>
        <v/>
      </c>
      <c r="C92">
        <f>Fundamentals!C92</f>
        <v/>
      </c>
      <c r="D92" s="15">
        <f>Fundamentals!G92</f>
        <v/>
      </c>
      <c r="E92" s="15">
        <f>Fundamentals!H92</f>
        <v/>
      </c>
      <c r="F92" s="16">
        <f>IF(OR($D92="",$E92="",$E92=0),"",$D92/$E92)</f>
        <v/>
      </c>
      <c r="G92" s="15">
        <f>IF(OR(Fundamentals!I92="",Fundamentals!J92="",Fundamentals!K92=""),"",Fundamentals!I92+Fundamentals!J92-Fundamentals!K92)</f>
        <v/>
      </c>
      <c r="H92" s="17">
        <f>IF(OR($G92="",$D92="",$D92=0),"",$G92/$D92)</f>
        <v/>
      </c>
      <c r="I92" s="17">
        <f>IF(OR(Fundamentals!L92="",$E92="",$E92=0),"",Fundamentals!L92/$E92)</f>
        <v/>
      </c>
      <c r="J92" s="15">
        <f>Fundamentals!O92</f>
        <v/>
      </c>
      <c r="K92">
        <f>IF(OR($A92=""),"",IF(AND($C92&lt;&gt;"Growth",$F92&lt;&gt;"",$F92&lt;cfg_PBR_max,$G92&lt;&gt;"",$G92&gt;0,$J92&lt;&gt;"",$J92&gt;=cfg_Liq_min),1,0))</f>
        <v/>
      </c>
      <c r="L92">
        <f>IF($K92="","",IF($K92=1,"",(IF($C92="Growth","Market=Growth; ",""))&amp;(IF(OR($F92="",$F92&gt;=cfg_PBR_max),"PBR&gt;=max/missing; ",""))&amp;(IF(OR($G92="",$G92&lt;=0),"NetCash&lt;=0/missing; ",""))&amp;(IF(OR($J92="",$J92&lt;cfg_Liq_min),"Liquidity&lt;min/missing; ",""))))</f>
        <v/>
      </c>
      <c r="M92">
        <f>IF($A92="","",IF(OR($D92="",$E92="",Fundamentals!I92="",Fundamentals!K92="",$J92=""),1,0))</f>
        <v/>
      </c>
      <c r="N92">
        <f>Fundamentals!U92</f>
        <v/>
      </c>
    </row>
    <row r="93">
      <c r="A93">
        <f>Fundamentals!A93</f>
        <v/>
      </c>
      <c r="B93">
        <f>Fundamentals!B93</f>
        <v/>
      </c>
      <c r="C93">
        <f>Fundamentals!C93</f>
        <v/>
      </c>
      <c r="D93" s="15">
        <f>Fundamentals!G93</f>
        <v/>
      </c>
      <c r="E93" s="15">
        <f>Fundamentals!H93</f>
        <v/>
      </c>
      <c r="F93" s="16">
        <f>IF(OR($D93="",$E93="",$E93=0),"",$D93/$E93)</f>
        <v/>
      </c>
      <c r="G93" s="15">
        <f>IF(OR(Fundamentals!I93="",Fundamentals!J93="",Fundamentals!K93=""),"",Fundamentals!I93+Fundamentals!J93-Fundamentals!K93)</f>
        <v/>
      </c>
      <c r="H93" s="17">
        <f>IF(OR($G93="",$D93="",$D93=0),"",$G93/$D93)</f>
        <v/>
      </c>
      <c r="I93" s="17">
        <f>IF(OR(Fundamentals!L93="",$E93="",$E93=0),"",Fundamentals!L93/$E93)</f>
        <v/>
      </c>
      <c r="J93" s="15">
        <f>Fundamentals!O93</f>
        <v/>
      </c>
      <c r="K93">
        <f>IF(OR($A93=""),"",IF(AND($C93&lt;&gt;"Growth",$F93&lt;&gt;"",$F93&lt;cfg_PBR_max,$G93&lt;&gt;"",$G93&gt;0,$J93&lt;&gt;"",$J93&gt;=cfg_Liq_min),1,0))</f>
        <v/>
      </c>
      <c r="L93">
        <f>IF($K93="","",IF($K93=1,"",(IF($C93="Growth","Market=Growth; ",""))&amp;(IF(OR($F93="",$F93&gt;=cfg_PBR_max),"PBR&gt;=max/missing; ",""))&amp;(IF(OR($G93="",$G93&lt;=0),"NetCash&lt;=0/missing; ",""))&amp;(IF(OR($J93="",$J93&lt;cfg_Liq_min),"Liquidity&lt;min/missing; ",""))))</f>
        <v/>
      </c>
      <c r="M93">
        <f>IF($A93="","",IF(OR($D93="",$E93="",Fundamentals!I93="",Fundamentals!K93="",$J93=""),1,0))</f>
        <v/>
      </c>
      <c r="N93">
        <f>Fundamentals!U93</f>
        <v/>
      </c>
    </row>
    <row r="94">
      <c r="A94">
        <f>Fundamentals!A94</f>
        <v/>
      </c>
      <c r="B94">
        <f>Fundamentals!B94</f>
        <v/>
      </c>
      <c r="C94">
        <f>Fundamentals!C94</f>
        <v/>
      </c>
      <c r="D94" s="15">
        <f>Fundamentals!G94</f>
        <v/>
      </c>
      <c r="E94" s="15">
        <f>Fundamentals!H94</f>
        <v/>
      </c>
      <c r="F94" s="16">
        <f>IF(OR($D94="",$E94="",$E94=0),"",$D94/$E94)</f>
        <v/>
      </c>
      <c r="G94" s="15">
        <f>IF(OR(Fundamentals!I94="",Fundamentals!J94="",Fundamentals!K94=""),"",Fundamentals!I94+Fundamentals!J94-Fundamentals!K94)</f>
        <v/>
      </c>
      <c r="H94" s="17">
        <f>IF(OR($G94="",$D94="",$D94=0),"",$G94/$D94)</f>
        <v/>
      </c>
      <c r="I94" s="17">
        <f>IF(OR(Fundamentals!L94="",$E94="",$E94=0),"",Fundamentals!L94/$E94)</f>
        <v/>
      </c>
      <c r="J94" s="15">
        <f>Fundamentals!O94</f>
        <v/>
      </c>
      <c r="K94">
        <f>IF(OR($A94=""),"",IF(AND($C94&lt;&gt;"Growth",$F94&lt;&gt;"",$F94&lt;cfg_PBR_max,$G94&lt;&gt;"",$G94&gt;0,$J94&lt;&gt;"",$J94&gt;=cfg_Liq_min),1,0))</f>
        <v/>
      </c>
      <c r="L94">
        <f>IF($K94="","",IF($K94=1,"",(IF($C94="Growth","Market=Growth; ",""))&amp;(IF(OR($F94="",$F94&gt;=cfg_PBR_max),"PBR&gt;=max/missing; ",""))&amp;(IF(OR($G94="",$G94&lt;=0),"NetCash&lt;=0/missing; ",""))&amp;(IF(OR($J94="",$J94&lt;cfg_Liq_min),"Liquidity&lt;min/missing; ",""))))</f>
        <v/>
      </c>
      <c r="M94">
        <f>IF($A94="","",IF(OR($D94="",$E94="",Fundamentals!I94="",Fundamentals!K94="",$J94=""),1,0))</f>
        <v/>
      </c>
      <c r="N94">
        <f>Fundamentals!U94</f>
        <v/>
      </c>
    </row>
    <row r="95">
      <c r="A95">
        <f>Fundamentals!A95</f>
        <v/>
      </c>
      <c r="B95">
        <f>Fundamentals!B95</f>
        <v/>
      </c>
      <c r="C95">
        <f>Fundamentals!C95</f>
        <v/>
      </c>
      <c r="D95" s="15">
        <f>Fundamentals!G95</f>
        <v/>
      </c>
      <c r="E95" s="15">
        <f>Fundamentals!H95</f>
        <v/>
      </c>
      <c r="F95" s="16">
        <f>IF(OR($D95="",$E95="",$E95=0),"",$D95/$E95)</f>
        <v/>
      </c>
      <c r="G95" s="15">
        <f>IF(OR(Fundamentals!I95="",Fundamentals!J95="",Fundamentals!K95=""),"",Fundamentals!I95+Fundamentals!J95-Fundamentals!K95)</f>
        <v/>
      </c>
      <c r="H95" s="17">
        <f>IF(OR($G95="",$D95="",$D95=0),"",$G95/$D95)</f>
        <v/>
      </c>
      <c r="I95" s="17">
        <f>IF(OR(Fundamentals!L95="",$E95="",$E95=0),"",Fundamentals!L95/$E95)</f>
        <v/>
      </c>
      <c r="J95" s="15">
        <f>Fundamentals!O95</f>
        <v/>
      </c>
      <c r="K95">
        <f>IF(OR($A95=""),"",IF(AND($C95&lt;&gt;"Growth",$F95&lt;&gt;"",$F95&lt;cfg_PBR_max,$G95&lt;&gt;"",$G95&gt;0,$J95&lt;&gt;"",$J95&gt;=cfg_Liq_min),1,0))</f>
        <v/>
      </c>
      <c r="L95">
        <f>IF($K95="","",IF($K95=1,"",(IF($C95="Growth","Market=Growth; ",""))&amp;(IF(OR($F95="",$F95&gt;=cfg_PBR_max),"PBR&gt;=max/missing; ",""))&amp;(IF(OR($G95="",$G95&lt;=0),"NetCash&lt;=0/missing; ",""))&amp;(IF(OR($J95="",$J95&lt;cfg_Liq_min),"Liquidity&lt;min/missing; ",""))))</f>
        <v/>
      </c>
      <c r="M95">
        <f>IF($A95="","",IF(OR($D95="",$E95="",Fundamentals!I95="",Fundamentals!K95="",$J95=""),1,0))</f>
        <v/>
      </c>
      <c r="N95">
        <f>Fundamentals!U95</f>
        <v/>
      </c>
    </row>
    <row r="96">
      <c r="A96">
        <f>Fundamentals!A96</f>
        <v/>
      </c>
      <c r="B96">
        <f>Fundamentals!B96</f>
        <v/>
      </c>
      <c r="C96">
        <f>Fundamentals!C96</f>
        <v/>
      </c>
      <c r="D96" s="15">
        <f>Fundamentals!G96</f>
        <v/>
      </c>
      <c r="E96" s="15">
        <f>Fundamentals!H96</f>
        <v/>
      </c>
      <c r="F96" s="16">
        <f>IF(OR($D96="",$E96="",$E96=0),"",$D96/$E96)</f>
        <v/>
      </c>
      <c r="G96" s="15">
        <f>IF(OR(Fundamentals!I96="",Fundamentals!J96="",Fundamentals!K96=""),"",Fundamentals!I96+Fundamentals!J96-Fundamentals!K96)</f>
        <v/>
      </c>
      <c r="H96" s="17">
        <f>IF(OR($G96="",$D96="",$D96=0),"",$G96/$D96)</f>
        <v/>
      </c>
      <c r="I96" s="17">
        <f>IF(OR(Fundamentals!L96="",$E96="",$E96=0),"",Fundamentals!L96/$E96)</f>
        <v/>
      </c>
      <c r="J96" s="15">
        <f>Fundamentals!O96</f>
        <v/>
      </c>
      <c r="K96">
        <f>IF(OR($A96=""),"",IF(AND($C96&lt;&gt;"Growth",$F96&lt;&gt;"",$F96&lt;cfg_PBR_max,$G96&lt;&gt;"",$G96&gt;0,$J96&lt;&gt;"",$J96&gt;=cfg_Liq_min),1,0))</f>
        <v/>
      </c>
      <c r="L96">
        <f>IF($K96="","",IF($K96=1,"",(IF($C96="Growth","Market=Growth; ",""))&amp;(IF(OR($F96="",$F96&gt;=cfg_PBR_max),"PBR&gt;=max/missing; ",""))&amp;(IF(OR($G96="",$G96&lt;=0),"NetCash&lt;=0/missing; ",""))&amp;(IF(OR($J96="",$J96&lt;cfg_Liq_min),"Liquidity&lt;min/missing; ",""))))</f>
        <v/>
      </c>
      <c r="M96">
        <f>IF($A96="","",IF(OR($D96="",$E96="",Fundamentals!I96="",Fundamentals!K96="",$J96=""),1,0))</f>
        <v/>
      </c>
      <c r="N96">
        <f>Fundamentals!U96</f>
        <v/>
      </c>
    </row>
    <row r="97">
      <c r="A97">
        <f>Fundamentals!A97</f>
        <v/>
      </c>
      <c r="B97">
        <f>Fundamentals!B97</f>
        <v/>
      </c>
      <c r="C97">
        <f>Fundamentals!C97</f>
        <v/>
      </c>
      <c r="D97" s="15">
        <f>Fundamentals!G97</f>
        <v/>
      </c>
      <c r="E97" s="15">
        <f>Fundamentals!H97</f>
        <v/>
      </c>
      <c r="F97" s="16">
        <f>IF(OR($D97="",$E97="",$E97=0),"",$D97/$E97)</f>
        <v/>
      </c>
      <c r="G97" s="15">
        <f>IF(OR(Fundamentals!I97="",Fundamentals!J97="",Fundamentals!K97=""),"",Fundamentals!I97+Fundamentals!J97-Fundamentals!K97)</f>
        <v/>
      </c>
      <c r="H97" s="17">
        <f>IF(OR($G97="",$D97="",$D97=0),"",$G97/$D97)</f>
        <v/>
      </c>
      <c r="I97" s="17">
        <f>IF(OR(Fundamentals!L97="",$E97="",$E97=0),"",Fundamentals!L97/$E97)</f>
        <v/>
      </c>
      <c r="J97" s="15">
        <f>Fundamentals!O97</f>
        <v/>
      </c>
      <c r="K97">
        <f>IF(OR($A97=""),"",IF(AND($C97&lt;&gt;"Growth",$F97&lt;&gt;"",$F97&lt;cfg_PBR_max,$G97&lt;&gt;"",$G97&gt;0,$J97&lt;&gt;"",$J97&gt;=cfg_Liq_min),1,0))</f>
        <v/>
      </c>
      <c r="L97">
        <f>IF($K97="","",IF($K97=1,"",(IF($C97="Growth","Market=Growth; ",""))&amp;(IF(OR($F97="",$F97&gt;=cfg_PBR_max),"PBR&gt;=max/missing; ",""))&amp;(IF(OR($G97="",$G97&lt;=0),"NetCash&lt;=0/missing; ",""))&amp;(IF(OR($J97="",$J97&lt;cfg_Liq_min),"Liquidity&lt;min/missing; ",""))))</f>
        <v/>
      </c>
      <c r="M97">
        <f>IF($A97="","",IF(OR($D97="",$E97="",Fundamentals!I97="",Fundamentals!K97="",$J97=""),1,0))</f>
        <v/>
      </c>
      <c r="N97">
        <f>Fundamentals!U97</f>
        <v/>
      </c>
    </row>
    <row r="98">
      <c r="A98">
        <f>Fundamentals!A98</f>
        <v/>
      </c>
      <c r="B98">
        <f>Fundamentals!B98</f>
        <v/>
      </c>
      <c r="C98">
        <f>Fundamentals!C98</f>
        <v/>
      </c>
      <c r="D98" s="15">
        <f>Fundamentals!G98</f>
        <v/>
      </c>
      <c r="E98" s="15">
        <f>Fundamentals!H98</f>
        <v/>
      </c>
      <c r="F98" s="16">
        <f>IF(OR($D98="",$E98="",$E98=0),"",$D98/$E98)</f>
        <v/>
      </c>
      <c r="G98" s="15">
        <f>IF(OR(Fundamentals!I98="",Fundamentals!J98="",Fundamentals!K98=""),"",Fundamentals!I98+Fundamentals!J98-Fundamentals!K98)</f>
        <v/>
      </c>
      <c r="H98" s="17">
        <f>IF(OR($G98="",$D98="",$D98=0),"",$G98/$D98)</f>
        <v/>
      </c>
      <c r="I98" s="17">
        <f>IF(OR(Fundamentals!L98="",$E98="",$E98=0),"",Fundamentals!L98/$E98)</f>
        <v/>
      </c>
      <c r="J98" s="15">
        <f>Fundamentals!O98</f>
        <v/>
      </c>
      <c r="K98">
        <f>IF(OR($A98=""),"",IF(AND($C98&lt;&gt;"Growth",$F98&lt;&gt;"",$F98&lt;cfg_PBR_max,$G98&lt;&gt;"",$G98&gt;0,$J98&lt;&gt;"",$J98&gt;=cfg_Liq_min),1,0))</f>
        <v/>
      </c>
      <c r="L98">
        <f>IF($K98="","",IF($K98=1,"",(IF($C98="Growth","Market=Growth; ",""))&amp;(IF(OR($F98="",$F98&gt;=cfg_PBR_max),"PBR&gt;=max/missing; ",""))&amp;(IF(OR($G98="",$G98&lt;=0),"NetCash&lt;=0/missing; ",""))&amp;(IF(OR($J98="",$J98&lt;cfg_Liq_min),"Liquidity&lt;min/missing; ",""))))</f>
        <v/>
      </c>
      <c r="M98">
        <f>IF($A98="","",IF(OR($D98="",$E98="",Fundamentals!I98="",Fundamentals!K98="",$J98=""),1,0))</f>
        <v/>
      </c>
      <c r="N98">
        <f>Fundamentals!U98</f>
        <v/>
      </c>
    </row>
    <row r="99">
      <c r="A99">
        <f>Fundamentals!A99</f>
        <v/>
      </c>
      <c r="B99">
        <f>Fundamentals!B99</f>
        <v/>
      </c>
      <c r="C99">
        <f>Fundamentals!C99</f>
        <v/>
      </c>
      <c r="D99" s="15">
        <f>Fundamentals!G99</f>
        <v/>
      </c>
      <c r="E99" s="15">
        <f>Fundamentals!H99</f>
        <v/>
      </c>
      <c r="F99" s="16">
        <f>IF(OR($D99="",$E99="",$E99=0),"",$D99/$E99)</f>
        <v/>
      </c>
      <c r="G99" s="15">
        <f>IF(OR(Fundamentals!I99="",Fundamentals!J99="",Fundamentals!K99=""),"",Fundamentals!I99+Fundamentals!J99-Fundamentals!K99)</f>
        <v/>
      </c>
      <c r="H99" s="17">
        <f>IF(OR($G99="",$D99="",$D99=0),"",$G99/$D99)</f>
        <v/>
      </c>
      <c r="I99" s="17">
        <f>IF(OR(Fundamentals!L99="",$E99="",$E99=0),"",Fundamentals!L99/$E99)</f>
        <v/>
      </c>
      <c r="J99" s="15">
        <f>Fundamentals!O99</f>
        <v/>
      </c>
      <c r="K99">
        <f>IF(OR($A99=""),"",IF(AND($C99&lt;&gt;"Growth",$F99&lt;&gt;"",$F99&lt;cfg_PBR_max,$G99&lt;&gt;"",$G99&gt;0,$J99&lt;&gt;"",$J99&gt;=cfg_Liq_min),1,0))</f>
        <v/>
      </c>
      <c r="L99">
        <f>IF($K99="","",IF($K99=1,"",(IF($C99="Growth","Market=Growth; ",""))&amp;(IF(OR($F99="",$F99&gt;=cfg_PBR_max),"PBR&gt;=max/missing; ",""))&amp;(IF(OR($G99="",$G99&lt;=0),"NetCash&lt;=0/missing; ",""))&amp;(IF(OR($J99="",$J99&lt;cfg_Liq_min),"Liquidity&lt;min/missing; ",""))))</f>
        <v/>
      </c>
      <c r="M99">
        <f>IF($A99="","",IF(OR($D99="",$E99="",Fundamentals!I99="",Fundamentals!K99="",$J99=""),1,0))</f>
        <v/>
      </c>
      <c r="N99">
        <f>Fundamentals!U99</f>
        <v/>
      </c>
    </row>
    <row r="100">
      <c r="A100">
        <f>Fundamentals!A100</f>
        <v/>
      </c>
      <c r="B100">
        <f>Fundamentals!B100</f>
        <v/>
      </c>
      <c r="C100">
        <f>Fundamentals!C100</f>
        <v/>
      </c>
      <c r="D100" s="15">
        <f>Fundamentals!G100</f>
        <v/>
      </c>
      <c r="E100" s="15">
        <f>Fundamentals!H100</f>
        <v/>
      </c>
      <c r="F100" s="16">
        <f>IF(OR($D100="",$E100="",$E100=0),"",$D100/$E100)</f>
        <v/>
      </c>
      <c r="G100" s="15">
        <f>IF(OR(Fundamentals!I100="",Fundamentals!J100="",Fundamentals!K100=""),"",Fundamentals!I100+Fundamentals!J100-Fundamentals!K100)</f>
        <v/>
      </c>
      <c r="H100" s="17">
        <f>IF(OR($G100="",$D100="",$D100=0),"",$G100/$D100)</f>
        <v/>
      </c>
      <c r="I100" s="17">
        <f>IF(OR(Fundamentals!L100="",$E100="",$E100=0),"",Fundamentals!L100/$E100)</f>
        <v/>
      </c>
      <c r="J100" s="15">
        <f>Fundamentals!O100</f>
        <v/>
      </c>
      <c r="K100">
        <f>IF(OR($A100=""),"",IF(AND($C100&lt;&gt;"Growth",$F100&lt;&gt;"",$F100&lt;cfg_PBR_max,$G100&lt;&gt;"",$G100&gt;0,$J100&lt;&gt;"",$J100&gt;=cfg_Liq_min),1,0))</f>
        <v/>
      </c>
      <c r="L100">
        <f>IF($K100="","",IF($K100=1,"",(IF($C100="Growth","Market=Growth; ",""))&amp;(IF(OR($F100="",$F100&gt;=cfg_PBR_max),"PBR&gt;=max/missing; ",""))&amp;(IF(OR($G100="",$G100&lt;=0),"NetCash&lt;=0/missing; ",""))&amp;(IF(OR($J100="",$J100&lt;cfg_Liq_min),"Liquidity&lt;min/missing; ",""))))</f>
        <v/>
      </c>
      <c r="M100">
        <f>IF($A100="","",IF(OR($D100="",$E100="",Fundamentals!I100="",Fundamentals!K100="",$J100=""),1,0))</f>
        <v/>
      </c>
      <c r="N100">
        <f>Fundamentals!U100</f>
        <v/>
      </c>
    </row>
    <row r="101">
      <c r="A101">
        <f>Fundamentals!A101</f>
        <v/>
      </c>
      <c r="B101">
        <f>Fundamentals!B101</f>
        <v/>
      </c>
      <c r="C101">
        <f>Fundamentals!C101</f>
        <v/>
      </c>
      <c r="D101" s="15">
        <f>Fundamentals!G101</f>
        <v/>
      </c>
      <c r="E101" s="15">
        <f>Fundamentals!H101</f>
        <v/>
      </c>
      <c r="F101" s="16">
        <f>IF(OR($D101="",$E101="",$E101=0),"",$D101/$E101)</f>
        <v/>
      </c>
      <c r="G101" s="15">
        <f>IF(OR(Fundamentals!I101="",Fundamentals!J101="",Fundamentals!K101=""),"",Fundamentals!I101+Fundamentals!J101-Fundamentals!K101)</f>
        <v/>
      </c>
      <c r="H101" s="17">
        <f>IF(OR($G101="",$D101="",$D101=0),"",$G101/$D101)</f>
        <v/>
      </c>
      <c r="I101" s="17">
        <f>IF(OR(Fundamentals!L101="",$E101="",$E101=0),"",Fundamentals!L101/$E101)</f>
        <v/>
      </c>
      <c r="J101" s="15">
        <f>Fundamentals!O101</f>
        <v/>
      </c>
      <c r="K101">
        <f>IF(OR($A101=""),"",IF(AND($C101&lt;&gt;"Growth",$F101&lt;&gt;"",$F101&lt;cfg_PBR_max,$G101&lt;&gt;"",$G101&gt;0,$J101&lt;&gt;"",$J101&gt;=cfg_Liq_min),1,0))</f>
        <v/>
      </c>
      <c r="L101">
        <f>IF($K101="","",IF($K101=1,"",(IF($C101="Growth","Market=Growth; ",""))&amp;(IF(OR($F101="",$F101&gt;=cfg_PBR_max),"PBR&gt;=max/missing; ",""))&amp;(IF(OR($G101="",$G101&lt;=0),"NetCash&lt;=0/missing; ",""))&amp;(IF(OR($J101="",$J101&lt;cfg_Liq_min),"Liquidity&lt;min/missing; ",""))))</f>
        <v/>
      </c>
      <c r="M101">
        <f>IF($A101="","",IF(OR($D101="",$E101="",Fundamentals!I101="",Fundamentals!K101="",$J101=""),1,0))</f>
        <v/>
      </c>
      <c r="N101">
        <f>Fundamentals!U101</f>
        <v/>
      </c>
    </row>
    <row r="102">
      <c r="A102">
        <f>Fundamentals!A102</f>
        <v/>
      </c>
      <c r="B102">
        <f>Fundamentals!B102</f>
        <v/>
      </c>
      <c r="C102">
        <f>Fundamentals!C102</f>
        <v/>
      </c>
      <c r="D102" s="15">
        <f>Fundamentals!G102</f>
        <v/>
      </c>
      <c r="E102" s="15">
        <f>Fundamentals!H102</f>
        <v/>
      </c>
      <c r="F102" s="16">
        <f>IF(OR($D102="",$E102="",$E102=0),"",$D102/$E102)</f>
        <v/>
      </c>
      <c r="G102" s="15">
        <f>IF(OR(Fundamentals!I102="",Fundamentals!J102="",Fundamentals!K102=""),"",Fundamentals!I102+Fundamentals!J102-Fundamentals!K102)</f>
        <v/>
      </c>
      <c r="H102" s="17">
        <f>IF(OR($G102="",$D102="",$D102=0),"",$G102/$D102)</f>
        <v/>
      </c>
      <c r="I102" s="17">
        <f>IF(OR(Fundamentals!L102="",$E102="",$E102=0),"",Fundamentals!L102/$E102)</f>
        <v/>
      </c>
      <c r="J102" s="15">
        <f>Fundamentals!O102</f>
        <v/>
      </c>
      <c r="K102">
        <f>IF(OR($A102=""),"",IF(AND($C102&lt;&gt;"Growth",$F102&lt;&gt;"",$F102&lt;cfg_PBR_max,$G102&lt;&gt;"",$G102&gt;0,$J102&lt;&gt;"",$J102&gt;=cfg_Liq_min),1,0))</f>
        <v/>
      </c>
      <c r="L102">
        <f>IF($K102="","",IF($K102=1,"",(IF($C102="Growth","Market=Growth; ",""))&amp;(IF(OR($F102="",$F102&gt;=cfg_PBR_max),"PBR&gt;=max/missing; ",""))&amp;(IF(OR($G102="",$G102&lt;=0),"NetCash&lt;=0/missing; ",""))&amp;(IF(OR($J102="",$J102&lt;cfg_Liq_min),"Liquidity&lt;min/missing; ",""))))</f>
        <v/>
      </c>
      <c r="M102">
        <f>IF($A102="","",IF(OR($D102="",$E102="",Fundamentals!I102="",Fundamentals!K102="",$J102=""),1,0))</f>
        <v/>
      </c>
      <c r="N102">
        <f>Fundamentals!U102</f>
        <v/>
      </c>
    </row>
    <row r="103">
      <c r="A103">
        <f>Fundamentals!A103</f>
        <v/>
      </c>
      <c r="B103">
        <f>Fundamentals!B103</f>
        <v/>
      </c>
      <c r="C103">
        <f>Fundamentals!C103</f>
        <v/>
      </c>
      <c r="D103" s="15">
        <f>Fundamentals!G103</f>
        <v/>
      </c>
      <c r="E103" s="15">
        <f>Fundamentals!H103</f>
        <v/>
      </c>
      <c r="F103" s="16">
        <f>IF(OR($D103="",$E103="",$E103=0),"",$D103/$E103)</f>
        <v/>
      </c>
      <c r="G103" s="15">
        <f>IF(OR(Fundamentals!I103="",Fundamentals!J103="",Fundamentals!K103=""),"",Fundamentals!I103+Fundamentals!J103-Fundamentals!K103)</f>
        <v/>
      </c>
      <c r="H103" s="17">
        <f>IF(OR($G103="",$D103="",$D103=0),"",$G103/$D103)</f>
        <v/>
      </c>
      <c r="I103" s="17">
        <f>IF(OR(Fundamentals!L103="",$E103="",$E103=0),"",Fundamentals!L103/$E103)</f>
        <v/>
      </c>
      <c r="J103" s="15">
        <f>Fundamentals!O103</f>
        <v/>
      </c>
      <c r="K103">
        <f>IF(OR($A103=""),"",IF(AND($C103&lt;&gt;"Growth",$F103&lt;&gt;"",$F103&lt;cfg_PBR_max,$G103&lt;&gt;"",$G103&gt;0,$J103&lt;&gt;"",$J103&gt;=cfg_Liq_min),1,0))</f>
        <v/>
      </c>
      <c r="L103">
        <f>IF($K103="","",IF($K103=1,"",(IF($C103="Growth","Market=Growth; ",""))&amp;(IF(OR($F103="",$F103&gt;=cfg_PBR_max),"PBR&gt;=max/missing; ",""))&amp;(IF(OR($G103="",$G103&lt;=0),"NetCash&lt;=0/missing; ",""))&amp;(IF(OR($J103="",$J103&lt;cfg_Liq_min),"Liquidity&lt;min/missing; ",""))))</f>
        <v/>
      </c>
      <c r="M103">
        <f>IF($A103="","",IF(OR($D103="",$E103="",Fundamentals!I103="",Fundamentals!K103="",$J103=""),1,0))</f>
        <v/>
      </c>
      <c r="N103">
        <f>Fundamentals!U103</f>
        <v/>
      </c>
    </row>
    <row r="104">
      <c r="A104">
        <f>Fundamentals!A104</f>
        <v/>
      </c>
      <c r="B104">
        <f>Fundamentals!B104</f>
        <v/>
      </c>
      <c r="C104">
        <f>Fundamentals!C104</f>
        <v/>
      </c>
      <c r="D104" s="15">
        <f>Fundamentals!G104</f>
        <v/>
      </c>
      <c r="E104" s="15">
        <f>Fundamentals!H104</f>
        <v/>
      </c>
      <c r="F104" s="16">
        <f>IF(OR($D104="",$E104="",$E104=0),"",$D104/$E104)</f>
        <v/>
      </c>
      <c r="G104" s="15">
        <f>IF(OR(Fundamentals!I104="",Fundamentals!J104="",Fundamentals!K104=""),"",Fundamentals!I104+Fundamentals!J104-Fundamentals!K104)</f>
        <v/>
      </c>
      <c r="H104" s="17">
        <f>IF(OR($G104="",$D104="",$D104=0),"",$G104/$D104)</f>
        <v/>
      </c>
      <c r="I104" s="17">
        <f>IF(OR(Fundamentals!L104="",$E104="",$E104=0),"",Fundamentals!L104/$E104)</f>
        <v/>
      </c>
      <c r="J104" s="15">
        <f>Fundamentals!O104</f>
        <v/>
      </c>
      <c r="K104">
        <f>IF(OR($A104=""),"",IF(AND($C104&lt;&gt;"Growth",$F104&lt;&gt;"",$F104&lt;cfg_PBR_max,$G104&lt;&gt;"",$G104&gt;0,$J104&lt;&gt;"",$J104&gt;=cfg_Liq_min),1,0))</f>
        <v/>
      </c>
      <c r="L104">
        <f>IF($K104="","",IF($K104=1,"",(IF($C104="Growth","Market=Growth; ",""))&amp;(IF(OR($F104="",$F104&gt;=cfg_PBR_max),"PBR&gt;=max/missing; ",""))&amp;(IF(OR($G104="",$G104&lt;=0),"NetCash&lt;=0/missing; ",""))&amp;(IF(OR($J104="",$J104&lt;cfg_Liq_min),"Liquidity&lt;min/missing; ",""))))</f>
        <v/>
      </c>
      <c r="M104">
        <f>IF($A104="","",IF(OR($D104="",$E104="",Fundamentals!I104="",Fundamentals!K104="",$J104=""),1,0))</f>
        <v/>
      </c>
      <c r="N104">
        <f>Fundamentals!U104</f>
        <v/>
      </c>
    </row>
    <row r="105">
      <c r="A105">
        <f>Fundamentals!A105</f>
        <v/>
      </c>
      <c r="B105">
        <f>Fundamentals!B105</f>
        <v/>
      </c>
      <c r="C105">
        <f>Fundamentals!C105</f>
        <v/>
      </c>
      <c r="D105" s="15">
        <f>Fundamentals!G105</f>
        <v/>
      </c>
      <c r="E105" s="15">
        <f>Fundamentals!H105</f>
        <v/>
      </c>
      <c r="F105" s="16">
        <f>IF(OR($D105="",$E105="",$E105=0),"",$D105/$E105)</f>
        <v/>
      </c>
      <c r="G105" s="15">
        <f>IF(OR(Fundamentals!I105="",Fundamentals!J105="",Fundamentals!K105=""),"",Fundamentals!I105+Fundamentals!J105-Fundamentals!K105)</f>
        <v/>
      </c>
      <c r="H105" s="17">
        <f>IF(OR($G105="",$D105="",$D105=0),"",$G105/$D105)</f>
        <v/>
      </c>
      <c r="I105" s="17">
        <f>IF(OR(Fundamentals!L105="",$E105="",$E105=0),"",Fundamentals!L105/$E105)</f>
        <v/>
      </c>
      <c r="J105" s="15">
        <f>Fundamentals!O105</f>
        <v/>
      </c>
      <c r="K105">
        <f>IF(OR($A105=""),"",IF(AND($C105&lt;&gt;"Growth",$F105&lt;&gt;"",$F105&lt;cfg_PBR_max,$G105&lt;&gt;"",$G105&gt;0,$J105&lt;&gt;"",$J105&gt;=cfg_Liq_min),1,0))</f>
        <v/>
      </c>
      <c r="L105">
        <f>IF($K105="","",IF($K105=1,"",(IF($C105="Growth","Market=Growth; ",""))&amp;(IF(OR($F105="",$F105&gt;=cfg_PBR_max),"PBR&gt;=max/missing; ",""))&amp;(IF(OR($G105="",$G105&lt;=0),"NetCash&lt;=0/missing; ",""))&amp;(IF(OR($J105="",$J105&lt;cfg_Liq_min),"Liquidity&lt;min/missing; ",""))))</f>
        <v/>
      </c>
      <c r="M105">
        <f>IF($A105="","",IF(OR($D105="",$E105="",Fundamentals!I105="",Fundamentals!K105="",$J105=""),1,0))</f>
        <v/>
      </c>
      <c r="N105">
        <f>Fundamentals!U105</f>
        <v/>
      </c>
    </row>
    <row r="106">
      <c r="A106">
        <f>Fundamentals!A106</f>
        <v/>
      </c>
      <c r="B106">
        <f>Fundamentals!B106</f>
        <v/>
      </c>
      <c r="C106">
        <f>Fundamentals!C106</f>
        <v/>
      </c>
      <c r="D106" s="15">
        <f>Fundamentals!G106</f>
        <v/>
      </c>
      <c r="E106" s="15">
        <f>Fundamentals!H106</f>
        <v/>
      </c>
      <c r="F106" s="16">
        <f>IF(OR($D106="",$E106="",$E106=0),"",$D106/$E106)</f>
        <v/>
      </c>
      <c r="G106" s="15">
        <f>IF(OR(Fundamentals!I106="",Fundamentals!J106="",Fundamentals!K106=""),"",Fundamentals!I106+Fundamentals!J106-Fundamentals!K106)</f>
        <v/>
      </c>
      <c r="H106" s="17">
        <f>IF(OR($G106="",$D106="",$D106=0),"",$G106/$D106)</f>
        <v/>
      </c>
      <c r="I106" s="17">
        <f>IF(OR(Fundamentals!L106="",$E106="",$E106=0),"",Fundamentals!L106/$E106)</f>
        <v/>
      </c>
      <c r="J106" s="15">
        <f>Fundamentals!O106</f>
        <v/>
      </c>
      <c r="K106">
        <f>IF(OR($A106=""),"",IF(AND($C106&lt;&gt;"Growth",$F106&lt;&gt;"",$F106&lt;cfg_PBR_max,$G106&lt;&gt;"",$G106&gt;0,$J106&lt;&gt;"",$J106&gt;=cfg_Liq_min),1,0))</f>
        <v/>
      </c>
      <c r="L106">
        <f>IF($K106="","",IF($K106=1,"",(IF($C106="Growth","Market=Growth; ",""))&amp;(IF(OR($F106="",$F106&gt;=cfg_PBR_max),"PBR&gt;=max/missing; ",""))&amp;(IF(OR($G106="",$G106&lt;=0),"NetCash&lt;=0/missing; ",""))&amp;(IF(OR($J106="",$J106&lt;cfg_Liq_min),"Liquidity&lt;min/missing; ",""))))</f>
        <v/>
      </c>
      <c r="M106">
        <f>IF($A106="","",IF(OR($D106="",$E106="",Fundamentals!I106="",Fundamentals!K106="",$J106=""),1,0))</f>
        <v/>
      </c>
      <c r="N106">
        <f>Fundamentals!U106</f>
        <v/>
      </c>
    </row>
    <row r="107">
      <c r="A107">
        <f>Fundamentals!A107</f>
        <v/>
      </c>
      <c r="B107">
        <f>Fundamentals!B107</f>
        <v/>
      </c>
      <c r="C107">
        <f>Fundamentals!C107</f>
        <v/>
      </c>
      <c r="D107" s="15">
        <f>Fundamentals!G107</f>
        <v/>
      </c>
      <c r="E107" s="15">
        <f>Fundamentals!H107</f>
        <v/>
      </c>
      <c r="F107" s="16">
        <f>IF(OR($D107="",$E107="",$E107=0),"",$D107/$E107)</f>
        <v/>
      </c>
      <c r="G107" s="15">
        <f>IF(OR(Fundamentals!I107="",Fundamentals!J107="",Fundamentals!K107=""),"",Fundamentals!I107+Fundamentals!J107-Fundamentals!K107)</f>
        <v/>
      </c>
      <c r="H107" s="17">
        <f>IF(OR($G107="",$D107="",$D107=0),"",$G107/$D107)</f>
        <v/>
      </c>
      <c r="I107" s="17">
        <f>IF(OR(Fundamentals!L107="",$E107="",$E107=0),"",Fundamentals!L107/$E107)</f>
        <v/>
      </c>
      <c r="J107" s="15">
        <f>Fundamentals!O107</f>
        <v/>
      </c>
      <c r="K107">
        <f>IF(OR($A107=""),"",IF(AND($C107&lt;&gt;"Growth",$F107&lt;&gt;"",$F107&lt;cfg_PBR_max,$G107&lt;&gt;"",$G107&gt;0,$J107&lt;&gt;"",$J107&gt;=cfg_Liq_min),1,0))</f>
        <v/>
      </c>
      <c r="L107">
        <f>IF($K107="","",IF($K107=1,"",(IF($C107="Growth","Market=Growth; ",""))&amp;(IF(OR($F107="",$F107&gt;=cfg_PBR_max),"PBR&gt;=max/missing; ",""))&amp;(IF(OR($G107="",$G107&lt;=0),"NetCash&lt;=0/missing; ",""))&amp;(IF(OR($J107="",$J107&lt;cfg_Liq_min),"Liquidity&lt;min/missing; ",""))))</f>
        <v/>
      </c>
      <c r="M107">
        <f>IF($A107="","",IF(OR($D107="",$E107="",Fundamentals!I107="",Fundamentals!K107="",$J107=""),1,0))</f>
        <v/>
      </c>
      <c r="N107">
        <f>Fundamentals!U107</f>
        <v/>
      </c>
    </row>
    <row r="108">
      <c r="A108">
        <f>Fundamentals!A108</f>
        <v/>
      </c>
      <c r="B108">
        <f>Fundamentals!B108</f>
        <v/>
      </c>
      <c r="C108">
        <f>Fundamentals!C108</f>
        <v/>
      </c>
      <c r="D108" s="15">
        <f>Fundamentals!G108</f>
        <v/>
      </c>
      <c r="E108" s="15">
        <f>Fundamentals!H108</f>
        <v/>
      </c>
      <c r="F108" s="16">
        <f>IF(OR($D108="",$E108="",$E108=0),"",$D108/$E108)</f>
        <v/>
      </c>
      <c r="G108" s="15">
        <f>IF(OR(Fundamentals!I108="",Fundamentals!J108="",Fundamentals!K108=""),"",Fundamentals!I108+Fundamentals!J108-Fundamentals!K108)</f>
        <v/>
      </c>
      <c r="H108" s="17">
        <f>IF(OR($G108="",$D108="",$D108=0),"",$G108/$D108)</f>
        <v/>
      </c>
      <c r="I108" s="17">
        <f>IF(OR(Fundamentals!L108="",$E108="",$E108=0),"",Fundamentals!L108/$E108)</f>
        <v/>
      </c>
      <c r="J108" s="15">
        <f>Fundamentals!O108</f>
        <v/>
      </c>
      <c r="K108">
        <f>IF(OR($A108=""),"",IF(AND($C108&lt;&gt;"Growth",$F108&lt;&gt;"",$F108&lt;cfg_PBR_max,$G108&lt;&gt;"",$G108&gt;0,$J108&lt;&gt;"",$J108&gt;=cfg_Liq_min),1,0))</f>
        <v/>
      </c>
      <c r="L108">
        <f>IF($K108="","",IF($K108=1,"",(IF($C108="Growth","Market=Growth; ",""))&amp;(IF(OR($F108="",$F108&gt;=cfg_PBR_max),"PBR&gt;=max/missing; ",""))&amp;(IF(OR($G108="",$G108&lt;=0),"NetCash&lt;=0/missing; ",""))&amp;(IF(OR($J108="",$J108&lt;cfg_Liq_min),"Liquidity&lt;min/missing; ",""))))</f>
        <v/>
      </c>
      <c r="M108">
        <f>IF($A108="","",IF(OR($D108="",$E108="",Fundamentals!I108="",Fundamentals!K108="",$J108=""),1,0))</f>
        <v/>
      </c>
      <c r="N108">
        <f>Fundamentals!U108</f>
        <v/>
      </c>
    </row>
    <row r="109">
      <c r="A109">
        <f>Fundamentals!A109</f>
        <v/>
      </c>
      <c r="B109">
        <f>Fundamentals!B109</f>
        <v/>
      </c>
      <c r="C109">
        <f>Fundamentals!C109</f>
        <v/>
      </c>
      <c r="D109" s="15">
        <f>Fundamentals!G109</f>
        <v/>
      </c>
      <c r="E109" s="15">
        <f>Fundamentals!H109</f>
        <v/>
      </c>
      <c r="F109" s="16">
        <f>IF(OR($D109="",$E109="",$E109=0),"",$D109/$E109)</f>
        <v/>
      </c>
      <c r="G109" s="15">
        <f>IF(OR(Fundamentals!I109="",Fundamentals!J109="",Fundamentals!K109=""),"",Fundamentals!I109+Fundamentals!J109-Fundamentals!K109)</f>
        <v/>
      </c>
      <c r="H109" s="17">
        <f>IF(OR($G109="",$D109="",$D109=0),"",$G109/$D109)</f>
        <v/>
      </c>
      <c r="I109" s="17">
        <f>IF(OR(Fundamentals!L109="",$E109="",$E109=0),"",Fundamentals!L109/$E109)</f>
        <v/>
      </c>
      <c r="J109" s="15">
        <f>Fundamentals!O109</f>
        <v/>
      </c>
      <c r="K109">
        <f>IF(OR($A109=""),"",IF(AND($C109&lt;&gt;"Growth",$F109&lt;&gt;"",$F109&lt;cfg_PBR_max,$G109&lt;&gt;"",$G109&gt;0,$J109&lt;&gt;"",$J109&gt;=cfg_Liq_min),1,0))</f>
        <v/>
      </c>
      <c r="L109">
        <f>IF($K109="","",IF($K109=1,"",(IF($C109="Growth","Market=Growth; ",""))&amp;(IF(OR($F109="",$F109&gt;=cfg_PBR_max),"PBR&gt;=max/missing; ",""))&amp;(IF(OR($G109="",$G109&lt;=0),"NetCash&lt;=0/missing; ",""))&amp;(IF(OR($J109="",$J109&lt;cfg_Liq_min),"Liquidity&lt;min/missing; ",""))))</f>
        <v/>
      </c>
      <c r="M109">
        <f>IF($A109="","",IF(OR($D109="",$E109="",Fundamentals!I109="",Fundamentals!K109="",$J109=""),1,0))</f>
        <v/>
      </c>
      <c r="N109">
        <f>Fundamentals!U109</f>
        <v/>
      </c>
    </row>
    <row r="110">
      <c r="A110">
        <f>Fundamentals!A110</f>
        <v/>
      </c>
      <c r="B110">
        <f>Fundamentals!B110</f>
        <v/>
      </c>
      <c r="C110">
        <f>Fundamentals!C110</f>
        <v/>
      </c>
      <c r="D110" s="15">
        <f>Fundamentals!G110</f>
        <v/>
      </c>
      <c r="E110" s="15">
        <f>Fundamentals!H110</f>
        <v/>
      </c>
      <c r="F110" s="16">
        <f>IF(OR($D110="",$E110="",$E110=0),"",$D110/$E110)</f>
        <v/>
      </c>
      <c r="G110" s="15">
        <f>IF(OR(Fundamentals!I110="",Fundamentals!J110="",Fundamentals!K110=""),"",Fundamentals!I110+Fundamentals!J110-Fundamentals!K110)</f>
        <v/>
      </c>
      <c r="H110" s="17">
        <f>IF(OR($G110="",$D110="",$D110=0),"",$G110/$D110)</f>
        <v/>
      </c>
      <c r="I110" s="17">
        <f>IF(OR(Fundamentals!L110="",$E110="",$E110=0),"",Fundamentals!L110/$E110)</f>
        <v/>
      </c>
      <c r="J110" s="15">
        <f>Fundamentals!O110</f>
        <v/>
      </c>
      <c r="K110">
        <f>IF(OR($A110=""),"",IF(AND($C110&lt;&gt;"Growth",$F110&lt;&gt;"",$F110&lt;cfg_PBR_max,$G110&lt;&gt;"",$G110&gt;0,$J110&lt;&gt;"",$J110&gt;=cfg_Liq_min),1,0))</f>
        <v/>
      </c>
      <c r="L110">
        <f>IF($K110="","",IF($K110=1,"",(IF($C110="Growth","Market=Growth; ",""))&amp;(IF(OR($F110="",$F110&gt;=cfg_PBR_max),"PBR&gt;=max/missing; ",""))&amp;(IF(OR($G110="",$G110&lt;=0),"NetCash&lt;=0/missing; ",""))&amp;(IF(OR($J110="",$J110&lt;cfg_Liq_min),"Liquidity&lt;min/missing; ",""))))</f>
        <v/>
      </c>
      <c r="M110">
        <f>IF($A110="","",IF(OR($D110="",$E110="",Fundamentals!I110="",Fundamentals!K110="",$J110=""),1,0))</f>
        <v/>
      </c>
      <c r="N110">
        <f>Fundamentals!U110</f>
        <v/>
      </c>
    </row>
    <row r="111">
      <c r="A111">
        <f>Fundamentals!A111</f>
        <v/>
      </c>
      <c r="B111">
        <f>Fundamentals!B111</f>
        <v/>
      </c>
      <c r="C111">
        <f>Fundamentals!C111</f>
        <v/>
      </c>
      <c r="D111" s="15">
        <f>Fundamentals!G111</f>
        <v/>
      </c>
      <c r="E111" s="15">
        <f>Fundamentals!H111</f>
        <v/>
      </c>
      <c r="F111" s="16">
        <f>IF(OR($D111="",$E111="",$E111=0),"",$D111/$E111)</f>
        <v/>
      </c>
      <c r="G111" s="15">
        <f>IF(OR(Fundamentals!I111="",Fundamentals!J111="",Fundamentals!K111=""),"",Fundamentals!I111+Fundamentals!J111-Fundamentals!K111)</f>
        <v/>
      </c>
      <c r="H111" s="17">
        <f>IF(OR($G111="",$D111="",$D111=0),"",$G111/$D111)</f>
        <v/>
      </c>
      <c r="I111" s="17">
        <f>IF(OR(Fundamentals!L111="",$E111="",$E111=0),"",Fundamentals!L111/$E111)</f>
        <v/>
      </c>
      <c r="J111" s="15">
        <f>Fundamentals!O111</f>
        <v/>
      </c>
      <c r="K111">
        <f>IF(OR($A111=""),"",IF(AND($C111&lt;&gt;"Growth",$F111&lt;&gt;"",$F111&lt;cfg_PBR_max,$G111&lt;&gt;"",$G111&gt;0,$J111&lt;&gt;"",$J111&gt;=cfg_Liq_min),1,0))</f>
        <v/>
      </c>
      <c r="L111">
        <f>IF($K111="","",IF($K111=1,"",(IF($C111="Growth","Market=Growth; ",""))&amp;(IF(OR($F111="",$F111&gt;=cfg_PBR_max),"PBR&gt;=max/missing; ",""))&amp;(IF(OR($G111="",$G111&lt;=0),"NetCash&lt;=0/missing; ",""))&amp;(IF(OR($J111="",$J111&lt;cfg_Liq_min),"Liquidity&lt;min/missing; ",""))))</f>
        <v/>
      </c>
      <c r="M111">
        <f>IF($A111="","",IF(OR($D111="",$E111="",Fundamentals!I111="",Fundamentals!K111="",$J111=""),1,0))</f>
        <v/>
      </c>
      <c r="N111">
        <f>Fundamentals!U111</f>
        <v/>
      </c>
    </row>
    <row r="112">
      <c r="A112">
        <f>Fundamentals!A112</f>
        <v/>
      </c>
      <c r="B112">
        <f>Fundamentals!B112</f>
        <v/>
      </c>
      <c r="C112">
        <f>Fundamentals!C112</f>
        <v/>
      </c>
      <c r="D112" s="15">
        <f>Fundamentals!G112</f>
        <v/>
      </c>
      <c r="E112" s="15">
        <f>Fundamentals!H112</f>
        <v/>
      </c>
      <c r="F112" s="16">
        <f>IF(OR($D112="",$E112="",$E112=0),"",$D112/$E112)</f>
        <v/>
      </c>
      <c r="G112" s="15">
        <f>IF(OR(Fundamentals!I112="",Fundamentals!J112="",Fundamentals!K112=""),"",Fundamentals!I112+Fundamentals!J112-Fundamentals!K112)</f>
        <v/>
      </c>
      <c r="H112" s="17">
        <f>IF(OR($G112="",$D112="",$D112=0),"",$G112/$D112)</f>
        <v/>
      </c>
      <c r="I112" s="17">
        <f>IF(OR(Fundamentals!L112="",$E112="",$E112=0),"",Fundamentals!L112/$E112)</f>
        <v/>
      </c>
      <c r="J112" s="15">
        <f>Fundamentals!O112</f>
        <v/>
      </c>
      <c r="K112">
        <f>IF(OR($A112=""),"",IF(AND($C112&lt;&gt;"Growth",$F112&lt;&gt;"",$F112&lt;cfg_PBR_max,$G112&lt;&gt;"",$G112&gt;0,$J112&lt;&gt;"",$J112&gt;=cfg_Liq_min),1,0))</f>
        <v/>
      </c>
      <c r="L112">
        <f>IF($K112="","",IF($K112=1,"",(IF($C112="Growth","Market=Growth; ",""))&amp;(IF(OR($F112="",$F112&gt;=cfg_PBR_max),"PBR&gt;=max/missing; ",""))&amp;(IF(OR($G112="",$G112&lt;=0),"NetCash&lt;=0/missing; ",""))&amp;(IF(OR($J112="",$J112&lt;cfg_Liq_min),"Liquidity&lt;min/missing; ",""))))</f>
        <v/>
      </c>
      <c r="M112">
        <f>IF($A112="","",IF(OR($D112="",$E112="",Fundamentals!I112="",Fundamentals!K112="",$J112=""),1,0))</f>
        <v/>
      </c>
      <c r="N112">
        <f>Fundamentals!U112</f>
        <v/>
      </c>
    </row>
    <row r="113">
      <c r="A113">
        <f>Fundamentals!A113</f>
        <v/>
      </c>
      <c r="B113">
        <f>Fundamentals!B113</f>
        <v/>
      </c>
      <c r="C113">
        <f>Fundamentals!C113</f>
        <v/>
      </c>
      <c r="D113" s="15">
        <f>Fundamentals!G113</f>
        <v/>
      </c>
      <c r="E113" s="15">
        <f>Fundamentals!H113</f>
        <v/>
      </c>
      <c r="F113" s="16">
        <f>IF(OR($D113="",$E113="",$E113=0),"",$D113/$E113)</f>
        <v/>
      </c>
      <c r="G113" s="15">
        <f>IF(OR(Fundamentals!I113="",Fundamentals!J113="",Fundamentals!K113=""),"",Fundamentals!I113+Fundamentals!J113-Fundamentals!K113)</f>
        <v/>
      </c>
      <c r="H113" s="17">
        <f>IF(OR($G113="",$D113="",$D113=0),"",$G113/$D113)</f>
        <v/>
      </c>
      <c r="I113" s="17">
        <f>IF(OR(Fundamentals!L113="",$E113="",$E113=0),"",Fundamentals!L113/$E113)</f>
        <v/>
      </c>
      <c r="J113" s="15">
        <f>Fundamentals!O113</f>
        <v/>
      </c>
      <c r="K113">
        <f>IF(OR($A113=""),"",IF(AND($C113&lt;&gt;"Growth",$F113&lt;&gt;"",$F113&lt;cfg_PBR_max,$G113&lt;&gt;"",$G113&gt;0,$J113&lt;&gt;"",$J113&gt;=cfg_Liq_min),1,0))</f>
        <v/>
      </c>
      <c r="L113">
        <f>IF($K113="","",IF($K113=1,"",(IF($C113="Growth","Market=Growth; ",""))&amp;(IF(OR($F113="",$F113&gt;=cfg_PBR_max),"PBR&gt;=max/missing; ",""))&amp;(IF(OR($G113="",$G113&lt;=0),"NetCash&lt;=0/missing; ",""))&amp;(IF(OR($J113="",$J113&lt;cfg_Liq_min),"Liquidity&lt;min/missing; ",""))))</f>
        <v/>
      </c>
      <c r="M113">
        <f>IF($A113="","",IF(OR($D113="",$E113="",Fundamentals!I113="",Fundamentals!K113="",$J113=""),1,0))</f>
        <v/>
      </c>
      <c r="N113">
        <f>Fundamentals!U113</f>
        <v/>
      </c>
    </row>
    <row r="114">
      <c r="A114">
        <f>Fundamentals!A114</f>
        <v/>
      </c>
      <c r="B114">
        <f>Fundamentals!B114</f>
        <v/>
      </c>
      <c r="C114">
        <f>Fundamentals!C114</f>
        <v/>
      </c>
      <c r="D114" s="15">
        <f>Fundamentals!G114</f>
        <v/>
      </c>
      <c r="E114" s="15">
        <f>Fundamentals!H114</f>
        <v/>
      </c>
      <c r="F114" s="16">
        <f>IF(OR($D114="",$E114="",$E114=0),"",$D114/$E114)</f>
        <v/>
      </c>
      <c r="G114" s="15">
        <f>IF(OR(Fundamentals!I114="",Fundamentals!J114="",Fundamentals!K114=""),"",Fundamentals!I114+Fundamentals!J114-Fundamentals!K114)</f>
        <v/>
      </c>
      <c r="H114" s="17">
        <f>IF(OR($G114="",$D114="",$D114=0),"",$G114/$D114)</f>
        <v/>
      </c>
      <c r="I114" s="17">
        <f>IF(OR(Fundamentals!L114="",$E114="",$E114=0),"",Fundamentals!L114/$E114)</f>
        <v/>
      </c>
      <c r="J114" s="15">
        <f>Fundamentals!O114</f>
        <v/>
      </c>
      <c r="K114">
        <f>IF(OR($A114=""),"",IF(AND($C114&lt;&gt;"Growth",$F114&lt;&gt;"",$F114&lt;cfg_PBR_max,$G114&lt;&gt;"",$G114&gt;0,$J114&lt;&gt;"",$J114&gt;=cfg_Liq_min),1,0))</f>
        <v/>
      </c>
      <c r="L114">
        <f>IF($K114="","",IF($K114=1,"",(IF($C114="Growth","Market=Growth; ",""))&amp;(IF(OR($F114="",$F114&gt;=cfg_PBR_max),"PBR&gt;=max/missing; ",""))&amp;(IF(OR($G114="",$G114&lt;=0),"NetCash&lt;=0/missing; ",""))&amp;(IF(OR($J114="",$J114&lt;cfg_Liq_min),"Liquidity&lt;min/missing; ",""))))</f>
        <v/>
      </c>
      <c r="M114">
        <f>IF($A114="","",IF(OR($D114="",$E114="",Fundamentals!I114="",Fundamentals!K114="",$J114=""),1,0))</f>
        <v/>
      </c>
      <c r="N114">
        <f>Fundamentals!U114</f>
        <v/>
      </c>
    </row>
    <row r="115">
      <c r="A115">
        <f>Fundamentals!A115</f>
        <v/>
      </c>
      <c r="B115">
        <f>Fundamentals!B115</f>
        <v/>
      </c>
      <c r="C115">
        <f>Fundamentals!C115</f>
        <v/>
      </c>
      <c r="D115" s="15">
        <f>Fundamentals!G115</f>
        <v/>
      </c>
      <c r="E115" s="15">
        <f>Fundamentals!H115</f>
        <v/>
      </c>
      <c r="F115" s="16">
        <f>IF(OR($D115="",$E115="",$E115=0),"",$D115/$E115)</f>
        <v/>
      </c>
      <c r="G115" s="15">
        <f>IF(OR(Fundamentals!I115="",Fundamentals!J115="",Fundamentals!K115=""),"",Fundamentals!I115+Fundamentals!J115-Fundamentals!K115)</f>
        <v/>
      </c>
      <c r="H115" s="17">
        <f>IF(OR($G115="",$D115="",$D115=0),"",$G115/$D115)</f>
        <v/>
      </c>
      <c r="I115" s="17">
        <f>IF(OR(Fundamentals!L115="",$E115="",$E115=0),"",Fundamentals!L115/$E115)</f>
        <v/>
      </c>
      <c r="J115" s="15">
        <f>Fundamentals!O115</f>
        <v/>
      </c>
      <c r="K115">
        <f>IF(OR($A115=""),"",IF(AND($C115&lt;&gt;"Growth",$F115&lt;&gt;"",$F115&lt;cfg_PBR_max,$G115&lt;&gt;"",$G115&gt;0,$J115&lt;&gt;"",$J115&gt;=cfg_Liq_min),1,0))</f>
        <v/>
      </c>
      <c r="L115">
        <f>IF($K115="","",IF($K115=1,"",(IF($C115="Growth","Market=Growth; ",""))&amp;(IF(OR($F115="",$F115&gt;=cfg_PBR_max),"PBR&gt;=max/missing; ",""))&amp;(IF(OR($G115="",$G115&lt;=0),"NetCash&lt;=0/missing; ",""))&amp;(IF(OR($J115="",$J115&lt;cfg_Liq_min),"Liquidity&lt;min/missing; ",""))))</f>
        <v/>
      </c>
      <c r="M115">
        <f>IF($A115="","",IF(OR($D115="",$E115="",Fundamentals!I115="",Fundamentals!K115="",$J115=""),1,0))</f>
        <v/>
      </c>
      <c r="N115">
        <f>Fundamentals!U115</f>
        <v/>
      </c>
    </row>
    <row r="116">
      <c r="A116">
        <f>Fundamentals!A116</f>
        <v/>
      </c>
      <c r="B116">
        <f>Fundamentals!B116</f>
        <v/>
      </c>
      <c r="C116">
        <f>Fundamentals!C116</f>
        <v/>
      </c>
      <c r="D116" s="15">
        <f>Fundamentals!G116</f>
        <v/>
      </c>
      <c r="E116" s="15">
        <f>Fundamentals!H116</f>
        <v/>
      </c>
      <c r="F116" s="16">
        <f>IF(OR($D116="",$E116="",$E116=0),"",$D116/$E116)</f>
        <v/>
      </c>
      <c r="G116" s="15">
        <f>IF(OR(Fundamentals!I116="",Fundamentals!J116="",Fundamentals!K116=""),"",Fundamentals!I116+Fundamentals!J116-Fundamentals!K116)</f>
        <v/>
      </c>
      <c r="H116" s="17">
        <f>IF(OR($G116="",$D116="",$D116=0),"",$G116/$D116)</f>
        <v/>
      </c>
      <c r="I116" s="17">
        <f>IF(OR(Fundamentals!L116="",$E116="",$E116=0),"",Fundamentals!L116/$E116)</f>
        <v/>
      </c>
      <c r="J116" s="15">
        <f>Fundamentals!O116</f>
        <v/>
      </c>
      <c r="K116">
        <f>IF(OR($A116=""),"",IF(AND($C116&lt;&gt;"Growth",$F116&lt;&gt;"",$F116&lt;cfg_PBR_max,$G116&lt;&gt;"",$G116&gt;0,$J116&lt;&gt;"",$J116&gt;=cfg_Liq_min),1,0))</f>
        <v/>
      </c>
      <c r="L116">
        <f>IF($K116="","",IF($K116=1,"",(IF($C116="Growth","Market=Growth; ",""))&amp;(IF(OR($F116="",$F116&gt;=cfg_PBR_max),"PBR&gt;=max/missing; ",""))&amp;(IF(OR($G116="",$G116&lt;=0),"NetCash&lt;=0/missing; ",""))&amp;(IF(OR($J116="",$J116&lt;cfg_Liq_min),"Liquidity&lt;min/missing; ",""))))</f>
        <v/>
      </c>
      <c r="M116">
        <f>IF($A116="","",IF(OR($D116="",$E116="",Fundamentals!I116="",Fundamentals!K116="",$J116=""),1,0))</f>
        <v/>
      </c>
      <c r="N116">
        <f>Fundamentals!U116</f>
        <v/>
      </c>
    </row>
    <row r="117">
      <c r="A117">
        <f>Fundamentals!A117</f>
        <v/>
      </c>
      <c r="B117">
        <f>Fundamentals!B117</f>
        <v/>
      </c>
      <c r="C117">
        <f>Fundamentals!C117</f>
        <v/>
      </c>
      <c r="D117" s="15">
        <f>Fundamentals!G117</f>
        <v/>
      </c>
      <c r="E117" s="15">
        <f>Fundamentals!H117</f>
        <v/>
      </c>
      <c r="F117" s="16">
        <f>IF(OR($D117="",$E117="",$E117=0),"",$D117/$E117)</f>
        <v/>
      </c>
      <c r="G117" s="15">
        <f>IF(OR(Fundamentals!I117="",Fundamentals!J117="",Fundamentals!K117=""),"",Fundamentals!I117+Fundamentals!J117-Fundamentals!K117)</f>
        <v/>
      </c>
      <c r="H117" s="17">
        <f>IF(OR($G117="",$D117="",$D117=0),"",$G117/$D117)</f>
        <v/>
      </c>
      <c r="I117" s="17">
        <f>IF(OR(Fundamentals!L117="",$E117="",$E117=0),"",Fundamentals!L117/$E117)</f>
        <v/>
      </c>
      <c r="J117" s="15">
        <f>Fundamentals!O117</f>
        <v/>
      </c>
      <c r="K117">
        <f>IF(OR($A117=""),"",IF(AND($C117&lt;&gt;"Growth",$F117&lt;&gt;"",$F117&lt;cfg_PBR_max,$G117&lt;&gt;"",$G117&gt;0,$J117&lt;&gt;"",$J117&gt;=cfg_Liq_min),1,0))</f>
        <v/>
      </c>
      <c r="L117">
        <f>IF($K117="","",IF($K117=1,"",(IF($C117="Growth","Market=Growth; ",""))&amp;(IF(OR($F117="",$F117&gt;=cfg_PBR_max),"PBR&gt;=max/missing; ",""))&amp;(IF(OR($G117="",$G117&lt;=0),"NetCash&lt;=0/missing; ",""))&amp;(IF(OR($J117="",$J117&lt;cfg_Liq_min),"Liquidity&lt;min/missing; ",""))))</f>
        <v/>
      </c>
      <c r="M117">
        <f>IF($A117="","",IF(OR($D117="",$E117="",Fundamentals!I117="",Fundamentals!K117="",$J117=""),1,0))</f>
        <v/>
      </c>
      <c r="N117">
        <f>Fundamentals!U117</f>
        <v/>
      </c>
    </row>
    <row r="118">
      <c r="A118">
        <f>Fundamentals!A118</f>
        <v/>
      </c>
      <c r="B118">
        <f>Fundamentals!B118</f>
        <v/>
      </c>
      <c r="C118">
        <f>Fundamentals!C118</f>
        <v/>
      </c>
      <c r="D118" s="15">
        <f>Fundamentals!G118</f>
        <v/>
      </c>
      <c r="E118" s="15">
        <f>Fundamentals!H118</f>
        <v/>
      </c>
      <c r="F118" s="16">
        <f>IF(OR($D118="",$E118="",$E118=0),"",$D118/$E118)</f>
        <v/>
      </c>
      <c r="G118" s="15">
        <f>IF(OR(Fundamentals!I118="",Fundamentals!J118="",Fundamentals!K118=""),"",Fundamentals!I118+Fundamentals!J118-Fundamentals!K118)</f>
        <v/>
      </c>
      <c r="H118" s="17">
        <f>IF(OR($G118="",$D118="",$D118=0),"",$G118/$D118)</f>
        <v/>
      </c>
      <c r="I118" s="17">
        <f>IF(OR(Fundamentals!L118="",$E118="",$E118=0),"",Fundamentals!L118/$E118)</f>
        <v/>
      </c>
      <c r="J118" s="15">
        <f>Fundamentals!O118</f>
        <v/>
      </c>
      <c r="K118">
        <f>IF(OR($A118=""),"",IF(AND($C118&lt;&gt;"Growth",$F118&lt;&gt;"",$F118&lt;cfg_PBR_max,$G118&lt;&gt;"",$G118&gt;0,$J118&lt;&gt;"",$J118&gt;=cfg_Liq_min),1,0))</f>
        <v/>
      </c>
      <c r="L118">
        <f>IF($K118="","",IF($K118=1,"",(IF($C118="Growth","Market=Growth; ",""))&amp;(IF(OR($F118="",$F118&gt;=cfg_PBR_max),"PBR&gt;=max/missing; ",""))&amp;(IF(OR($G118="",$G118&lt;=0),"NetCash&lt;=0/missing; ",""))&amp;(IF(OR($J118="",$J118&lt;cfg_Liq_min),"Liquidity&lt;min/missing; ",""))))</f>
        <v/>
      </c>
      <c r="M118">
        <f>IF($A118="","",IF(OR($D118="",$E118="",Fundamentals!I118="",Fundamentals!K118="",$J118=""),1,0))</f>
        <v/>
      </c>
      <c r="N118">
        <f>Fundamentals!U118</f>
        <v/>
      </c>
    </row>
    <row r="119">
      <c r="A119">
        <f>Fundamentals!A119</f>
        <v/>
      </c>
      <c r="B119">
        <f>Fundamentals!B119</f>
        <v/>
      </c>
      <c r="C119">
        <f>Fundamentals!C119</f>
        <v/>
      </c>
      <c r="D119" s="15">
        <f>Fundamentals!G119</f>
        <v/>
      </c>
      <c r="E119" s="15">
        <f>Fundamentals!H119</f>
        <v/>
      </c>
      <c r="F119" s="16">
        <f>IF(OR($D119="",$E119="",$E119=0),"",$D119/$E119)</f>
        <v/>
      </c>
      <c r="G119" s="15">
        <f>IF(OR(Fundamentals!I119="",Fundamentals!J119="",Fundamentals!K119=""),"",Fundamentals!I119+Fundamentals!J119-Fundamentals!K119)</f>
        <v/>
      </c>
      <c r="H119" s="17">
        <f>IF(OR($G119="",$D119="",$D119=0),"",$G119/$D119)</f>
        <v/>
      </c>
      <c r="I119" s="17">
        <f>IF(OR(Fundamentals!L119="",$E119="",$E119=0),"",Fundamentals!L119/$E119)</f>
        <v/>
      </c>
      <c r="J119" s="15">
        <f>Fundamentals!O119</f>
        <v/>
      </c>
      <c r="K119">
        <f>IF(OR($A119=""),"",IF(AND($C119&lt;&gt;"Growth",$F119&lt;&gt;"",$F119&lt;cfg_PBR_max,$G119&lt;&gt;"",$G119&gt;0,$J119&lt;&gt;"",$J119&gt;=cfg_Liq_min),1,0))</f>
        <v/>
      </c>
      <c r="L119">
        <f>IF($K119="","",IF($K119=1,"",(IF($C119="Growth","Market=Growth; ",""))&amp;(IF(OR($F119="",$F119&gt;=cfg_PBR_max),"PBR&gt;=max/missing; ",""))&amp;(IF(OR($G119="",$G119&lt;=0),"NetCash&lt;=0/missing; ",""))&amp;(IF(OR($J119="",$J119&lt;cfg_Liq_min),"Liquidity&lt;min/missing; ",""))))</f>
        <v/>
      </c>
      <c r="M119">
        <f>IF($A119="","",IF(OR($D119="",$E119="",Fundamentals!I119="",Fundamentals!K119="",$J119=""),1,0))</f>
        <v/>
      </c>
      <c r="N119">
        <f>Fundamentals!U119</f>
        <v/>
      </c>
    </row>
    <row r="120">
      <c r="A120">
        <f>Fundamentals!A120</f>
        <v/>
      </c>
      <c r="B120">
        <f>Fundamentals!B120</f>
        <v/>
      </c>
      <c r="C120">
        <f>Fundamentals!C120</f>
        <v/>
      </c>
      <c r="D120" s="15">
        <f>Fundamentals!G120</f>
        <v/>
      </c>
      <c r="E120" s="15">
        <f>Fundamentals!H120</f>
        <v/>
      </c>
      <c r="F120" s="16">
        <f>IF(OR($D120="",$E120="",$E120=0),"",$D120/$E120)</f>
        <v/>
      </c>
      <c r="G120" s="15">
        <f>IF(OR(Fundamentals!I120="",Fundamentals!J120="",Fundamentals!K120=""),"",Fundamentals!I120+Fundamentals!J120-Fundamentals!K120)</f>
        <v/>
      </c>
      <c r="H120" s="17">
        <f>IF(OR($G120="",$D120="",$D120=0),"",$G120/$D120)</f>
        <v/>
      </c>
      <c r="I120" s="17">
        <f>IF(OR(Fundamentals!L120="",$E120="",$E120=0),"",Fundamentals!L120/$E120)</f>
        <v/>
      </c>
      <c r="J120" s="15">
        <f>Fundamentals!O120</f>
        <v/>
      </c>
      <c r="K120">
        <f>IF(OR($A120=""),"",IF(AND($C120&lt;&gt;"Growth",$F120&lt;&gt;"",$F120&lt;cfg_PBR_max,$G120&lt;&gt;"",$G120&gt;0,$J120&lt;&gt;"",$J120&gt;=cfg_Liq_min),1,0))</f>
        <v/>
      </c>
      <c r="L120">
        <f>IF($K120="","",IF($K120=1,"",(IF($C120="Growth","Market=Growth; ",""))&amp;(IF(OR($F120="",$F120&gt;=cfg_PBR_max),"PBR&gt;=max/missing; ",""))&amp;(IF(OR($G120="",$G120&lt;=0),"NetCash&lt;=0/missing; ",""))&amp;(IF(OR($J120="",$J120&lt;cfg_Liq_min),"Liquidity&lt;min/missing; ",""))))</f>
        <v/>
      </c>
      <c r="M120">
        <f>IF($A120="","",IF(OR($D120="",$E120="",Fundamentals!I120="",Fundamentals!K120="",$J120=""),1,0))</f>
        <v/>
      </c>
      <c r="N120">
        <f>Fundamentals!U120</f>
        <v/>
      </c>
    </row>
    <row r="121">
      <c r="A121">
        <f>Fundamentals!A121</f>
        <v/>
      </c>
      <c r="B121">
        <f>Fundamentals!B121</f>
        <v/>
      </c>
      <c r="C121">
        <f>Fundamentals!C121</f>
        <v/>
      </c>
      <c r="D121" s="15">
        <f>Fundamentals!G121</f>
        <v/>
      </c>
      <c r="E121" s="15">
        <f>Fundamentals!H121</f>
        <v/>
      </c>
      <c r="F121" s="16">
        <f>IF(OR($D121="",$E121="",$E121=0),"",$D121/$E121)</f>
        <v/>
      </c>
      <c r="G121" s="15">
        <f>IF(OR(Fundamentals!I121="",Fundamentals!J121="",Fundamentals!K121=""),"",Fundamentals!I121+Fundamentals!J121-Fundamentals!K121)</f>
        <v/>
      </c>
      <c r="H121" s="17">
        <f>IF(OR($G121="",$D121="",$D121=0),"",$G121/$D121)</f>
        <v/>
      </c>
      <c r="I121" s="17">
        <f>IF(OR(Fundamentals!L121="",$E121="",$E121=0),"",Fundamentals!L121/$E121)</f>
        <v/>
      </c>
      <c r="J121" s="15">
        <f>Fundamentals!O121</f>
        <v/>
      </c>
      <c r="K121">
        <f>IF(OR($A121=""),"",IF(AND($C121&lt;&gt;"Growth",$F121&lt;&gt;"",$F121&lt;cfg_PBR_max,$G121&lt;&gt;"",$G121&gt;0,$J121&lt;&gt;"",$J121&gt;=cfg_Liq_min),1,0))</f>
        <v/>
      </c>
      <c r="L121">
        <f>IF($K121="","",IF($K121=1,"",(IF($C121="Growth","Market=Growth; ",""))&amp;(IF(OR($F121="",$F121&gt;=cfg_PBR_max),"PBR&gt;=max/missing; ",""))&amp;(IF(OR($G121="",$G121&lt;=0),"NetCash&lt;=0/missing; ",""))&amp;(IF(OR($J121="",$J121&lt;cfg_Liq_min),"Liquidity&lt;min/missing; ",""))))</f>
        <v/>
      </c>
      <c r="M121">
        <f>IF($A121="","",IF(OR($D121="",$E121="",Fundamentals!I121="",Fundamentals!K121="",$J121=""),1,0))</f>
        <v/>
      </c>
      <c r="N121">
        <f>Fundamentals!U121</f>
        <v/>
      </c>
    </row>
    <row r="122">
      <c r="A122">
        <f>Fundamentals!A122</f>
        <v/>
      </c>
      <c r="B122">
        <f>Fundamentals!B122</f>
        <v/>
      </c>
      <c r="C122">
        <f>Fundamentals!C122</f>
        <v/>
      </c>
      <c r="D122" s="15">
        <f>Fundamentals!G122</f>
        <v/>
      </c>
      <c r="E122" s="15">
        <f>Fundamentals!H122</f>
        <v/>
      </c>
      <c r="F122" s="16">
        <f>IF(OR($D122="",$E122="",$E122=0),"",$D122/$E122)</f>
        <v/>
      </c>
      <c r="G122" s="15">
        <f>IF(OR(Fundamentals!I122="",Fundamentals!J122="",Fundamentals!K122=""),"",Fundamentals!I122+Fundamentals!J122-Fundamentals!K122)</f>
        <v/>
      </c>
      <c r="H122" s="17">
        <f>IF(OR($G122="",$D122="",$D122=0),"",$G122/$D122)</f>
        <v/>
      </c>
      <c r="I122" s="17">
        <f>IF(OR(Fundamentals!L122="",$E122="",$E122=0),"",Fundamentals!L122/$E122)</f>
        <v/>
      </c>
      <c r="J122" s="15">
        <f>Fundamentals!O122</f>
        <v/>
      </c>
      <c r="K122">
        <f>IF(OR($A122=""),"",IF(AND($C122&lt;&gt;"Growth",$F122&lt;&gt;"",$F122&lt;cfg_PBR_max,$G122&lt;&gt;"",$G122&gt;0,$J122&lt;&gt;"",$J122&gt;=cfg_Liq_min),1,0))</f>
        <v/>
      </c>
      <c r="L122">
        <f>IF($K122="","",IF($K122=1,"",(IF($C122="Growth","Market=Growth; ",""))&amp;(IF(OR($F122="",$F122&gt;=cfg_PBR_max),"PBR&gt;=max/missing; ",""))&amp;(IF(OR($G122="",$G122&lt;=0),"NetCash&lt;=0/missing; ",""))&amp;(IF(OR($J122="",$J122&lt;cfg_Liq_min),"Liquidity&lt;min/missing; ",""))))</f>
        <v/>
      </c>
      <c r="M122">
        <f>IF($A122="","",IF(OR($D122="",$E122="",Fundamentals!I122="",Fundamentals!K122="",$J122=""),1,0))</f>
        <v/>
      </c>
      <c r="N122">
        <f>Fundamentals!U122</f>
        <v/>
      </c>
    </row>
    <row r="123">
      <c r="A123">
        <f>Fundamentals!A123</f>
        <v/>
      </c>
      <c r="B123">
        <f>Fundamentals!B123</f>
        <v/>
      </c>
      <c r="C123">
        <f>Fundamentals!C123</f>
        <v/>
      </c>
      <c r="D123" s="15">
        <f>Fundamentals!G123</f>
        <v/>
      </c>
      <c r="E123" s="15">
        <f>Fundamentals!H123</f>
        <v/>
      </c>
      <c r="F123" s="16">
        <f>IF(OR($D123="",$E123="",$E123=0),"",$D123/$E123)</f>
        <v/>
      </c>
      <c r="G123" s="15">
        <f>IF(OR(Fundamentals!I123="",Fundamentals!J123="",Fundamentals!K123=""),"",Fundamentals!I123+Fundamentals!J123-Fundamentals!K123)</f>
        <v/>
      </c>
      <c r="H123" s="17">
        <f>IF(OR($G123="",$D123="",$D123=0),"",$G123/$D123)</f>
        <v/>
      </c>
      <c r="I123" s="17">
        <f>IF(OR(Fundamentals!L123="",$E123="",$E123=0),"",Fundamentals!L123/$E123)</f>
        <v/>
      </c>
      <c r="J123" s="15">
        <f>Fundamentals!O123</f>
        <v/>
      </c>
      <c r="K123">
        <f>IF(OR($A123=""),"",IF(AND($C123&lt;&gt;"Growth",$F123&lt;&gt;"",$F123&lt;cfg_PBR_max,$G123&lt;&gt;"",$G123&gt;0,$J123&lt;&gt;"",$J123&gt;=cfg_Liq_min),1,0))</f>
        <v/>
      </c>
      <c r="L123">
        <f>IF($K123="","",IF($K123=1,"",(IF($C123="Growth","Market=Growth; ",""))&amp;(IF(OR($F123="",$F123&gt;=cfg_PBR_max),"PBR&gt;=max/missing; ",""))&amp;(IF(OR($G123="",$G123&lt;=0),"NetCash&lt;=0/missing; ",""))&amp;(IF(OR($J123="",$J123&lt;cfg_Liq_min),"Liquidity&lt;min/missing; ",""))))</f>
        <v/>
      </c>
      <c r="M123">
        <f>IF($A123="","",IF(OR($D123="",$E123="",Fundamentals!I123="",Fundamentals!K123="",$J123=""),1,0))</f>
        <v/>
      </c>
      <c r="N123">
        <f>Fundamentals!U123</f>
        <v/>
      </c>
    </row>
    <row r="124">
      <c r="A124">
        <f>Fundamentals!A124</f>
        <v/>
      </c>
      <c r="B124">
        <f>Fundamentals!B124</f>
        <v/>
      </c>
      <c r="C124">
        <f>Fundamentals!C124</f>
        <v/>
      </c>
      <c r="D124" s="15">
        <f>Fundamentals!G124</f>
        <v/>
      </c>
      <c r="E124" s="15">
        <f>Fundamentals!H124</f>
        <v/>
      </c>
      <c r="F124" s="16">
        <f>IF(OR($D124="",$E124="",$E124=0),"",$D124/$E124)</f>
        <v/>
      </c>
      <c r="G124" s="15">
        <f>IF(OR(Fundamentals!I124="",Fundamentals!J124="",Fundamentals!K124=""),"",Fundamentals!I124+Fundamentals!J124-Fundamentals!K124)</f>
        <v/>
      </c>
      <c r="H124" s="17">
        <f>IF(OR($G124="",$D124="",$D124=0),"",$G124/$D124)</f>
        <v/>
      </c>
      <c r="I124" s="17">
        <f>IF(OR(Fundamentals!L124="",$E124="",$E124=0),"",Fundamentals!L124/$E124)</f>
        <v/>
      </c>
      <c r="J124" s="15">
        <f>Fundamentals!O124</f>
        <v/>
      </c>
      <c r="K124">
        <f>IF(OR($A124=""),"",IF(AND($C124&lt;&gt;"Growth",$F124&lt;&gt;"",$F124&lt;cfg_PBR_max,$G124&lt;&gt;"",$G124&gt;0,$J124&lt;&gt;"",$J124&gt;=cfg_Liq_min),1,0))</f>
        <v/>
      </c>
      <c r="L124">
        <f>IF($K124="","",IF($K124=1,"",(IF($C124="Growth","Market=Growth; ",""))&amp;(IF(OR($F124="",$F124&gt;=cfg_PBR_max),"PBR&gt;=max/missing; ",""))&amp;(IF(OR($G124="",$G124&lt;=0),"NetCash&lt;=0/missing; ",""))&amp;(IF(OR($J124="",$J124&lt;cfg_Liq_min),"Liquidity&lt;min/missing; ",""))))</f>
        <v/>
      </c>
      <c r="M124">
        <f>IF($A124="","",IF(OR($D124="",$E124="",Fundamentals!I124="",Fundamentals!K124="",$J124=""),1,0))</f>
        <v/>
      </c>
      <c r="N124">
        <f>Fundamentals!U124</f>
        <v/>
      </c>
    </row>
    <row r="125">
      <c r="A125">
        <f>Fundamentals!A125</f>
        <v/>
      </c>
      <c r="B125">
        <f>Fundamentals!B125</f>
        <v/>
      </c>
      <c r="C125">
        <f>Fundamentals!C125</f>
        <v/>
      </c>
      <c r="D125" s="15">
        <f>Fundamentals!G125</f>
        <v/>
      </c>
      <c r="E125" s="15">
        <f>Fundamentals!H125</f>
        <v/>
      </c>
      <c r="F125" s="16">
        <f>IF(OR($D125="",$E125="",$E125=0),"",$D125/$E125)</f>
        <v/>
      </c>
      <c r="G125" s="15">
        <f>IF(OR(Fundamentals!I125="",Fundamentals!J125="",Fundamentals!K125=""),"",Fundamentals!I125+Fundamentals!J125-Fundamentals!K125)</f>
        <v/>
      </c>
      <c r="H125" s="17">
        <f>IF(OR($G125="",$D125="",$D125=0),"",$G125/$D125)</f>
        <v/>
      </c>
      <c r="I125" s="17">
        <f>IF(OR(Fundamentals!L125="",$E125="",$E125=0),"",Fundamentals!L125/$E125)</f>
        <v/>
      </c>
      <c r="J125" s="15">
        <f>Fundamentals!O125</f>
        <v/>
      </c>
      <c r="K125">
        <f>IF(OR($A125=""),"",IF(AND($C125&lt;&gt;"Growth",$F125&lt;&gt;"",$F125&lt;cfg_PBR_max,$G125&lt;&gt;"",$G125&gt;0,$J125&lt;&gt;"",$J125&gt;=cfg_Liq_min),1,0))</f>
        <v/>
      </c>
      <c r="L125">
        <f>IF($K125="","",IF($K125=1,"",(IF($C125="Growth","Market=Growth; ",""))&amp;(IF(OR($F125="",$F125&gt;=cfg_PBR_max),"PBR&gt;=max/missing; ",""))&amp;(IF(OR($G125="",$G125&lt;=0),"NetCash&lt;=0/missing; ",""))&amp;(IF(OR($J125="",$J125&lt;cfg_Liq_min),"Liquidity&lt;min/missing; ",""))))</f>
        <v/>
      </c>
      <c r="M125">
        <f>IF($A125="","",IF(OR($D125="",$E125="",Fundamentals!I125="",Fundamentals!K125="",$J125=""),1,0))</f>
        <v/>
      </c>
      <c r="N125">
        <f>Fundamentals!U125</f>
        <v/>
      </c>
    </row>
    <row r="126">
      <c r="A126">
        <f>Fundamentals!A126</f>
        <v/>
      </c>
      <c r="B126">
        <f>Fundamentals!B126</f>
        <v/>
      </c>
      <c r="C126">
        <f>Fundamentals!C126</f>
        <v/>
      </c>
      <c r="D126" s="15">
        <f>Fundamentals!G126</f>
        <v/>
      </c>
      <c r="E126" s="15">
        <f>Fundamentals!H126</f>
        <v/>
      </c>
      <c r="F126" s="16">
        <f>IF(OR($D126="",$E126="",$E126=0),"",$D126/$E126)</f>
        <v/>
      </c>
      <c r="G126" s="15">
        <f>IF(OR(Fundamentals!I126="",Fundamentals!J126="",Fundamentals!K126=""),"",Fundamentals!I126+Fundamentals!J126-Fundamentals!K126)</f>
        <v/>
      </c>
      <c r="H126" s="17">
        <f>IF(OR($G126="",$D126="",$D126=0),"",$G126/$D126)</f>
        <v/>
      </c>
      <c r="I126" s="17">
        <f>IF(OR(Fundamentals!L126="",$E126="",$E126=0),"",Fundamentals!L126/$E126)</f>
        <v/>
      </c>
      <c r="J126" s="15">
        <f>Fundamentals!O126</f>
        <v/>
      </c>
      <c r="K126">
        <f>IF(OR($A126=""),"",IF(AND($C126&lt;&gt;"Growth",$F126&lt;&gt;"",$F126&lt;cfg_PBR_max,$G126&lt;&gt;"",$G126&gt;0,$J126&lt;&gt;"",$J126&gt;=cfg_Liq_min),1,0))</f>
        <v/>
      </c>
      <c r="L126">
        <f>IF($K126="","",IF($K126=1,"",(IF($C126="Growth","Market=Growth; ",""))&amp;(IF(OR($F126="",$F126&gt;=cfg_PBR_max),"PBR&gt;=max/missing; ",""))&amp;(IF(OR($G126="",$G126&lt;=0),"NetCash&lt;=0/missing; ",""))&amp;(IF(OR($J126="",$J126&lt;cfg_Liq_min),"Liquidity&lt;min/missing; ",""))))</f>
        <v/>
      </c>
      <c r="M126">
        <f>IF($A126="","",IF(OR($D126="",$E126="",Fundamentals!I126="",Fundamentals!K126="",$J126=""),1,0))</f>
        <v/>
      </c>
      <c r="N126">
        <f>Fundamentals!U126</f>
        <v/>
      </c>
    </row>
    <row r="127">
      <c r="A127">
        <f>Fundamentals!A127</f>
        <v/>
      </c>
      <c r="B127">
        <f>Fundamentals!B127</f>
        <v/>
      </c>
      <c r="C127">
        <f>Fundamentals!C127</f>
        <v/>
      </c>
      <c r="D127" s="15">
        <f>Fundamentals!G127</f>
        <v/>
      </c>
      <c r="E127" s="15">
        <f>Fundamentals!H127</f>
        <v/>
      </c>
      <c r="F127" s="16">
        <f>IF(OR($D127="",$E127="",$E127=0),"",$D127/$E127)</f>
        <v/>
      </c>
      <c r="G127" s="15">
        <f>IF(OR(Fundamentals!I127="",Fundamentals!J127="",Fundamentals!K127=""),"",Fundamentals!I127+Fundamentals!J127-Fundamentals!K127)</f>
        <v/>
      </c>
      <c r="H127" s="17">
        <f>IF(OR($G127="",$D127="",$D127=0),"",$G127/$D127)</f>
        <v/>
      </c>
      <c r="I127" s="17">
        <f>IF(OR(Fundamentals!L127="",$E127="",$E127=0),"",Fundamentals!L127/$E127)</f>
        <v/>
      </c>
      <c r="J127" s="15">
        <f>Fundamentals!O127</f>
        <v/>
      </c>
      <c r="K127">
        <f>IF(OR($A127=""),"",IF(AND($C127&lt;&gt;"Growth",$F127&lt;&gt;"",$F127&lt;cfg_PBR_max,$G127&lt;&gt;"",$G127&gt;0,$J127&lt;&gt;"",$J127&gt;=cfg_Liq_min),1,0))</f>
        <v/>
      </c>
      <c r="L127">
        <f>IF($K127="","",IF($K127=1,"",(IF($C127="Growth","Market=Growth; ",""))&amp;(IF(OR($F127="",$F127&gt;=cfg_PBR_max),"PBR&gt;=max/missing; ",""))&amp;(IF(OR($G127="",$G127&lt;=0),"NetCash&lt;=0/missing; ",""))&amp;(IF(OR($J127="",$J127&lt;cfg_Liq_min),"Liquidity&lt;min/missing; ",""))))</f>
        <v/>
      </c>
      <c r="M127">
        <f>IF($A127="","",IF(OR($D127="",$E127="",Fundamentals!I127="",Fundamentals!K127="",$J127=""),1,0))</f>
        <v/>
      </c>
      <c r="N127">
        <f>Fundamentals!U127</f>
        <v/>
      </c>
    </row>
    <row r="128">
      <c r="A128">
        <f>Fundamentals!A128</f>
        <v/>
      </c>
      <c r="B128">
        <f>Fundamentals!B128</f>
        <v/>
      </c>
      <c r="C128">
        <f>Fundamentals!C128</f>
        <v/>
      </c>
      <c r="D128" s="15">
        <f>Fundamentals!G128</f>
        <v/>
      </c>
      <c r="E128" s="15">
        <f>Fundamentals!H128</f>
        <v/>
      </c>
      <c r="F128" s="16">
        <f>IF(OR($D128="",$E128="",$E128=0),"",$D128/$E128)</f>
        <v/>
      </c>
      <c r="G128" s="15">
        <f>IF(OR(Fundamentals!I128="",Fundamentals!J128="",Fundamentals!K128=""),"",Fundamentals!I128+Fundamentals!J128-Fundamentals!K128)</f>
        <v/>
      </c>
      <c r="H128" s="17">
        <f>IF(OR($G128="",$D128="",$D128=0),"",$G128/$D128)</f>
        <v/>
      </c>
      <c r="I128" s="17">
        <f>IF(OR(Fundamentals!L128="",$E128="",$E128=0),"",Fundamentals!L128/$E128)</f>
        <v/>
      </c>
      <c r="J128" s="15">
        <f>Fundamentals!O128</f>
        <v/>
      </c>
      <c r="K128">
        <f>IF(OR($A128=""),"",IF(AND($C128&lt;&gt;"Growth",$F128&lt;&gt;"",$F128&lt;cfg_PBR_max,$G128&lt;&gt;"",$G128&gt;0,$J128&lt;&gt;"",$J128&gt;=cfg_Liq_min),1,0))</f>
        <v/>
      </c>
      <c r="L128">
        <f>IF($K128="","",IF($K128=1,"",(IF($C128="Growth","Market=Growth; ",""))&amp;(IF(OR($F128="",$F128&gt;=cfg_PBR_max),"PBR&gt;=max/missing; ",""))&amp;(IF(OR($G128="",$G128&lt;=0),"NetCash&lt;=0/missing; ",""))&amp;(IF(OR($J128="",$J128&lt;cfg_Liq_min),"Liquidity&lt;min/missing; ",""))))</f>
        <v/>
      </c>
      <c r="M128">
        <f>IF($A128="","",IF(OR($D128="",$E128="",Fundamentals!I128="",Fundamentals!K128="",$J128=""),1,0))</f>
        <v/>
      </c>
      <c r="N128">
        <f>Fundamentals!U128</f>
        <v/>
      </c>
    </row>
    <row r="129">
      <c r="A129">
        <f>Fundamentals!A129</f>
        <v/>
      </c>
      <c r="B129">
        <f>Fundamentals!B129</f>
        <v/>
      </c>
      <c r="C129">
        <f>Fundamentals!C129</f>
        <v/>
      </c>
      <c r="D129" s="15">
        <f>Fundamentals!G129</f>
        <v/>
      </c>
      <c r="E129" s="15">
        <f>Fundamentals!H129</f>
        <v/>
      </c>
      <c r="F129" s="16">
        <f>IF(OR($D129="",$E129="",$E129=0),"",$D129/$E129)</f>
        <v/>
      </c>
      <c r="G129" s="15">
        <f>IF(OR(Fundamentals!I129="",Fundamentals!J129="",Fundamentals!K129=""),"",Fundamentals!I129+Fundamentals!J129-Fundamentals!K129)</f>
        <v/>
      </c>
      <c r="H129" s="17">
        <f>IF(OR($G129="",$D129="",$D129=0),"",$G129/$D129)</f>
        <v/>
      </c>
      <c r="I129" s="17">
        <f>IF(OR(Fundamentals!L129="",$E129="",$E129=0),"",Fundamentals!L129/$E129)</f>
        <v/>
      </c>
      <c r="J129" s="15">
        <f>Fundamentals!O129</f>
        <v/>
      </c>
      <c r="K129">
        <f>IF(OR($A129=""),"",IF(AND($C129&lt;&gt;"Growth",$F129&lt;&gt;"",$F129&lt;cfg_PBR_max,$G129&lt;&gt;"",$G129&gt;0,$J129&lt;&gt;"",$J129&gt;=cfg_Liq_min),1,0))</f>
        <v/>
      </c>
      <c r="L129">
        <f>IF($K129="","",IF($K129=1,"",(IF($C129="Growth","Market=Growth; ",""))&amp;(IF(OR($F129="",$F129&gt;=cfg_PBR_max),"PBR&gt;=max/missing; ",""))&amp;(IF(OR($G129="",$G129&lt;=0),"NetCash&lt;=0/missing; ",""))&amp;(IF(OR($J129="",$J129&lt;cfg_Liq_min),"Liquidity&lt;min/missing; ",""))))</f>
        <v/>
      </c>
      <c r="M129">
        <f>IF($A129="","",IF(OR($D129="",$E129="",Fundamentals!I129="",Fundamentals!K129="",$J129=""),1,0))</f>
        <v/>
      </c>
      <c r="N129">
        <f>Fundamentals!U129</f>
        <v/>
      </c>
    </row>
    <row r="130">
      <c r="A130">
        <f>Fundamentals!A130</f>
        <v/>
      </c>
      <c r="B130">
        <f>Fundamentals!B130</f>
        <v/>
      </c>
      <c r="C130">
        <f>Fundamentals!C130</f>
        <v/>
      </c>
      <c r="D130" s="15">
        <f>Fundamentals!G130</f>
        <v/>
      </c>
      <c r="E130" s="15">
        <f>Fundamentals!H130</f>
        <v/>
      </c>
      <c r="F130" s="16">
        <f>IF(OR($D130="",$E130="",$E130=0),"",$D130/$E130)</f>
        <v/>
      </c>
      <c r="G130" s="15">
        <f>IF(OR(Fundamentals!I130="",Fundamentals!J130="",Fundamentals!K130=""),"",Fundamentals!I130+Fundamentals!J130-Fundamentals!K130)</f>
        <v/>
      </c>
      <c r="H130" s="17">
        <f>IF(OR($G130="",$D130="",$D130=0),"",$G130/$D130)</f>
        <v/>
      </c>
      <c r="I130" s="17">
        <f>IF(OR(Fundamentals!L130="",$E130="",$E130=0),"",Fundamentals!L130/$E130)</f>
        <v/>
      </c>
      <c r="J130" s="15">
        <f>Fundamentals!O130</f>
        <v/>
      </c>
      <c r="K130">
        <f>IF(OR($A130=""),"",IF(AND($C130&lt;&gt;"Growth",$F130&lt;&gt;"",$F130&lt;cfg_PBR_max,$G130&lt;&gt;"",$G130&gt;0,$J130&lt;&gt;"",$J130&gt;=cfg_Liq_min),1,0))</f>
        <v/>
      </c>
      <c r="L130">
        <f>IF($K130="","",IF($K130=1,"",(IF($C130="Growth","Market=Growth; ",""))&amp;(IF(OR($F130="",$F130&gt;=cfg_PBR_max),"PBR&gt;=max/missing; ",""))&amp;(IF(OR($G130="",$G130&lt;=0),"NetCash&lt;=0/missing; ",""))&amp;(IF(OR($J130="",$J130&lt;cfg_Liq_min),"Liquidity&lt;min/missing; ",""))))</f>
        <v/>
      </c>
      <c r="M130">
        <f>IF($A130="","",IF(OR($D130="",$E130="",Fundamentals!I130="",Fundamentals!K130="",$J130=""),1,0))</f>
        <v/>
      </c>
      <c r="N130">
        <f>Fundamentals!U130</f>
        <v/>
      </c>
    </row>
    <row r="131">
      <c r="A131">
        <f>Fundamentals!A131</f>
        <v/>
      </c>
      <c r="B131">
        <f>Fundamentals!B131</f>
        <v/>
      </c>
      <c r="C131">
        <f>Fundamentals!C131</f>
        <v/>
      </c>
      <c r="D131" s="15">
        <f>Fundamentals!G131</f>
        <v/>
      </c>
      <c r="E131" s="15">
        <f>Fundamentals!H131</f>
        <v/>
      </c>
      <c r="F131" s="16">
        <f>IF(OR($D131="",$E131="",$E131=0),"",$D131/$E131)</f>
        <v/>
      </c>
      <c r="G131" s="15">
        <f>IF(OR(Fundamentals!I131="",Fundamentals!J131="",Fundamentals!K131=""),"",Fundamentals!I131+Fundamentals!J131-Fundamentals!K131)</f>
        <v/>
      </c>
      <c r="H131" s="17">
        <f>IF(OR($G131="",$D131="",$D131=0),"",$G131/$D131)</f>
        <v/>
      </c>
      <c r="I131" s="17">
        <f>IF(OR(Fundamentals!L131="",$E131="",$E131=0),"",Fundamentals!L131/$E131)</f>
        <v/>
      </c>
      <c r="J131" s="15">
        <f>Fundamentals!O131</f>
        <v/>
      </c>
      <c r="K131">
        <f>IF(OR($A131=""),"",IF(AND($C131&lt;&gt;"Growth",$F131&lt;&gt;"",$F131&lt;cfg_PBR_max,$G131&lt;&gt;"",$G131&gt;0,$J131&lt;&gt;"",$J131&gt;=cfg_Liq_min),1,0))</f>
        <v/>
      </c>
      <c r="L131">
        <f>IF($K131="","",IF($K131=1,"",(IF($C131="Growth","Market=Growth; ",""))&amp;(IF(OR($F131="",$F131&gt;=cfg_PBR_max),"PBR&gt;=max/missing; ",""))&amp;(IF(OR($G131="",$G131&lt;=0),"NetCash&lt;=0/missing; ",""))&amp;(IF(OR($J131="",$J131&lt;cfg_Liq_min),"Liquidity&lt;min/missing; ",""))))</f>
        <v/>
      </c>
      <c r="M131">
        <f>IF($A131="","",IF(OR($D131="",$E131="",Fundamentals!I131="",Fundamentals!K131="",$J131=""),1,0))</f>
        <v/>
      </c>
      <c r="N131">
        <f>Fundamentals!U131</f>
        <v/>
      </c>
    </row>
    <row r="132">
      <c r="A132">
        <f>Fundamentals!A132</f>
        <v/>
      </c>
      <c r="B132">
        <f>Fundamentals!B132</f>
        <v/>
      </c>
      <c r="C132">
        <f>Fundamentals!C132</f>
        <v/>
      </c>
      <c r="D132" s="15">
        <f>Fundamentals!G132</f>
        <v/>
      </c>
      <c r="E132" s="15">
        <f>Fundamentals!H132</f>
        <v/>
      </c>
      <c r="F132" s="16">
        <f>IF(OR($D132="",$E132="",$E132=0),"",$D132/$E132)</f>
        <v/>
      </c>
      <c r="G132" s="15">
        <f>IF(OR(Fundamentals!I132="",Fundamentals!J132="",Fundamentals!K132=""),"",Fundamentals!I132+Fundamentals!J132-Fundamentals!K132)</f>
        <v/>
      </c>
      <c r="H132" s="17">
        <f>IF(OR($G132="",$D132="",$D132=0),"",$G132/$D132)</f>
        <v/>
      </c>
      <c r="I132" s="17">
        <f>IF(OR(Fundamentals!L132="",$E132="",$E132=0),"",Fundamentals!L132/$E132)</f>
        <v/>
      </c>
      <c r="J132" s="15">
        <f>Fundamentals!O132</f>
        <v/>
      </c>
      <c r="K132">
        <f>IF(OR($A132=""),"",IF(AND($C132&lt;&gt;"Growth",$F132&lt;&gt;"",$F132&lt;cfg_PBR_max,$G132&lt;&gt;"",$G132&gt;0,$J132&lt;&gt;"",$J132&gt;=cfg_Liq_min),1,0))</f>
        <v/>
      </c>
      <c r="L132">
        <f>IF($K132="","",IF($K132=1,"",(IF($C132="Growth","Market=Growth; ",""))&amp;(IF(OR($F132="",$F132&gt;=cfg_PBR_max),"PBR&gt;=max/missing; ",""))&amp;(IF(OR($G132="",$G132&lt;=0),"NetCash&lt;=0/missing; ",""))&amp;(IF(OR($J132="",$J132&lt;cfg_Liq_min),"Liquidity&lt;min/missing; ",""))))</f>
        <v/>
      </c>
      <c r="M132">
        <f>IF($A132="","",IF(OR($D132="",$E132="",Fundamentals!I132="",Fundamentals!K132="",$J132=""),1,0))</f>
        <v/>
      </c>
      <c r="N132">
        <f>Fundamentals!U132</f>
        <v/>
      </c>
    </row>
    <row r="133">
      <c r="A133">
        <f>Fundamentals!A133</f>
        <v/>
      </c>
      <c r="B133">
        <f>Fundamentals!B133</f>
        <v/>
      </c>
      <c r="C133">
        <f>Fundamentals!C133</f>
        <v/>
      </c>
      <c r="D133" s="15">
        <f>Fundamentals!G133</f>
        <v/>
      </c>
      <c r="E133" s="15">
        <f>Fundamentals!H133</f>
        <v/>
      </c>
      <c r="F133" s="16">
        <f>IF(OR($D133="",$E133="",$E133=0),"",$D133/$E133)</f>
        <v/>
      </c>
      <c r="G133" s="15">
        <f>IF(OR(Fundamentals!I133="",Fundamentals!J133="",Fundamentals!K133=""),"",Fundamentals!I133+Fundamentals!J133-Fundamentals!K133)</f>
        <v/>
      </c>
      <c r="H133" s="17">
        <f>IF(OR($G133="",$D133="",$D133=0),"",$G133/$D133)</f>
        <v/>
      </c>
      <c r="I133" s="17">
        <f>IF(OR(Fundamentals!L133="",$E133="",$E133=0),"",Fundamentals!L133/$E133)</f>
        <v/>
      </c>
      <c r="J133" s="15">
        <f>Fundamentals!O133</f>
        <v/>
      </c>
      <c r="K133">
        <f>IF(OR($A133=""),"",IF(AND($C133&lt;&gt;"Growth",$F133&lt;&gt;"",$F133&lt;cfg_PBR_max,$G133&lt;&gt;"",$G133&gt;0,$J133&lt;&gt;"",$J133&gt;=cfg_Liq_min),1,0))</f>
        <v/>
      </c>
      <c r="L133">
        <f>IF($K133="","",IF($K133=1,"",(IF($C133="Growth","Market=Growth; ",""))&amp;(IF(OR($F133="",$F133&gt;=cfg_PBR_max),"PBR&gt;=max/missing; ",""))&amp;(IF(OR($G133="",$G133&lt;=0),"NetCash&lt;=0/missing; ",""))&amp;(IF(OR($J133="",$J133&lt;cfg_Liq_min),"Liquidity&lt;min/missing; ",""))))</f>
        <v/>
      </c>
      <c r="M133">
        <f>IF($A133="","",IF(OR($D133="",$E133="",Fundamentals!I133="",Fundamentals!K133="",$J133=""),1,0))</f>
        <v/>
      </c>
      <c r="N133">
        <f>Fundamentals!U133</f>
        <v/>
      </c>
    </row>
    <row r="134">
      <c r="A134">
        <f>Fundamentals!A134</f>
        <v/>
      </c>
      <c r="B134">
        <f>Fundamentals!B134</f>
        <v/>
      </c>
      <c r="C134">
        <f>Fundamentals!C134</f>
        <v/>
      </c>
      <c r="D134" s="15">
        <f>Fundamentals!G134</f>
        <v/>
      </c>
      <c r="E134" s="15">
        <f>Fundamentals!H134</f>
        <v/>
      </c>
      <c r="F134" s="16">
        <f>IF(OR($D134="",$E134="",$E134=0),"",$D134/$E134)</f>
        <v/>
      </c>
      <c r="G134" s="15">
        <f>IF(OR(Fundamentals!I134="",Fundamentals!J134="",Fundamentals!K134=""),"",Fundamentals!I134+Fundamentals!J134-Fundamentals!K134)</f>
        <v/>
      </c>
      <c r="H134" s="17">
        <f>IF(OR($G134="",$D134="",$D134=0),"",$G134/$D134)</f>
        <v/>
      </c>
      <c r="I134" s="17">
        <f>IF(OR(Fundamentals!L134="",$E134="",$E134=0),"",Fundamentals!L134/$E134)</f>
        <v/>
      </c>
      <c r="J134" s="15">
        <f>Fundamentals!O134</f>
        <v/>
      </c>
      <c r="K134">
        <f>IF(OR($A134=""),"",IF(AND($C134&lt;&gt;"Growth",$F134&lt;&gt;"",$F134&lt;cfg_PBR_max,$G134&lt;&gt;"",$G134&gt;0,$J134&lt;&gt;"",$J134&gt;=cfg_Liq_min),1,0))</f>
        <v/>
      </c>
      <c r="L134">
        <f>IF($K134="","",IF($K134=1,"",(IF($C134="Growth","Market=Growth; ",""))&amp;(IF(OR($F134="",$F134&gt;=cfg_PBR_max),"PBR&gt;=max/missing; ",""))&amp;(IF(OR($G134="",$G134&lt;=0),"NetCash&lt;=0/missing; ",""))&amp;(IF(OR($J134="",$J134&lt;cfg_Liq_min),"Liquidity&lt;min/missing; ",""))))</f>
        <v/>
      </c>
      <c r="M134">
        <f>IF($A134="","",IF(OR($D134="",$E134="",Fundamentals!I134="",Fundamentals!K134="",$J134=""),1,0))</f>
        <v/>
      </c>
      <c r="N134">
        <f>Fundamentals!U134</f>
        <v/>
      </c>
    </row>
    <row r="135">
      <c r="A135">
        <f>Fundamentals!A135</f>
        <v/>
      </c>
      <c r="B135">
        <f>Fundamentals!B135</f>
        <v/>
      </c>
      <c r="C135">
        <f>Fundamentals!C135</f>
        <v/>
      </c>
      <c r="D135" s="15">
        <f>Fundamentals!G135</f>
        <v/>
      </c>
      <c r="E135" s="15">
        <f>Fundamentals!H135</f>
        <v/>
      </c>
      <c r="F135" s="16">
        <f>IF(OR($D135="",$E135="",$E135=0),"",$D135/$E135)</f>
        <v/>
      </c>
      <c r="G135" s="15">
        <f>IF(OR(Fundamentals!I135="",Fundamentals!J135="",Fundamentals!K135=""),"",Fundamentals!I135+Fundamentals!J135-Fundamentals!K135)</f>
        <v/>
      </c>
      <c r="H135" s="17">
        <f>IF(OR($G135="",$D135="",$D135=0),"",$G135/$D135)</f>
        <v/>
      </c>
      <c r="I135" s="17">
        <f>IF(OR(Fundamentals!L135="",$E135="",$E135=0),"",Fundamentals!L135/$E135)</f>
        <v/>
      </c>
      <c r="J135" s="15">
        <f>Fundamentals!O135</f>
        <v/>
      </c>
      <c r="K135">
        <f>IF(OR($A135=""),"",IF(AND($C135&lt;&gt;"Growth",$F135&lt;&gt;"",$F135&lt;cfg_PBR_max,$G135&lt;&gt;"",$G135&gt;0,$J135&lt;&gt;"",$J135&gt;=cfg_Liq_min),1,0))</f>
        <v/>
      </c>
      <c r="L135">
        <f>IF($K135="","",IF($K135=1,"",(IF($C135="Growth","Market=Growth; ",""))&amp;(IF(OR($F135="",$F135&gt;=cfg_PBR_max),"PBR&gt;=max/missing; ",""))&amp;(IF(OR($G135="",$G135&lt;=0),"NetCash&lt;=0/missing; ",""))&amp;(IF(OR($J135="",$J135&lt;cfg_Liq_min),"Liquidity&lt;min/missing; ",""))))</f>
        <v/>
      </c>
      <c r="M135">
        <f>IF($A135="","",IF(OR($D135="",$E135="",Fundamentals!I135="",Fundamentals!K135="",$J135=""),1,0))</f>
        <v/>
      </c>
      <c r="N135">
        <f>Fundamentals!U135</f>
        <v/>
      </c>
    </row>
    <row r="136">
      <c r="A136">
        <f>Fundamentals!A136</f>
        <v/>
      </c>
      <c r="B136">
        <f>Fundamentals!B136</f>
        <v/>
      </c>
      <c r="C136">
        <f>Fundamentals!C136</f>
        <v/>
      </c>
      <c r="D136" s="15">
        <f>Fundamentals!G136</f>
        <v/>
      </c>
      <c r="E136" s="15">
        <f>Fundamentals!H136</f>
        <v/>
      </c>
      <c r="F136" s="16">
        <f>IF(OR($D136="",$E136="",$E136=0),"",$D136/$E136)</f>
        <v/>
      </c>
      <c r="G136" s="15">
        <f>IF(OR(Fundamentals!I136="",Fundamentals!J136="",Fundamentals!K136=""),"",Fundamentals!I136+Fundamentals!J136-Fundamentals!K136)</f>
        <v/>
      </c>
      <c r="H136" s="17">
        <f>IF(OR($G136="",$D136="",$D136=0),"",$G136/$D136)</f>
        <v/>
      </c>
      <c r="I136" s="17">
        <f>IF(OR(Fundamentals!L136="",$E136="",$E136=0),"",Fundamentals!L136/$E136)</f>
        <v/>
      </c>
      <c r="J136" s="15">
        <f>Fundamentals!O136</f>
        <v/>
      </c>
      <c r="K136">
        <f>IF(OR($A136=""),"",IF(AND($C136&lt;&gt;"Growth",$F136&lt;&gt;"",$F136&lt;cfg_PBR_max,$G136&lt;&gt;"",$G136&gt;0,$J136&lt;&gt;"",$J136&gt;=cfg_Liq_min),1,0))</f>
        <v/>
      </c>
      <c r="L136">
        <f>IF($K136="","",IF($K136=1,"",(IF($C136="Growth","Market=Growth; ",""))&amp;(IF(OR($F136="",$F136&gt;=cfg_PBR_max),"PBR&gt;=max/missing; ",""))&amp;(IF(OR($G136="",$G136&lt;=0),"NetCash&lt;=0/missing; ",""))&amp;(IF(OR($J136="",$J136&lt;cfg_Liq_min),"Liquidity&lt;min/missing; ",""))))</f>
        <v/>
      </c>
      <c r="M136">
        <f>IF($A136="","",IF(OR($D136="",$E136="",Fundamentals!I136="",Fundamentals!K136="",$J136=""),1,0))</f>
        <v/>
      </c>
      <c r="N136">
        <f>Fundamentals!U136</f>
        <v/>
      </c>
    </row>
    <row r="137">
      <c r="A137">
        <f>Fundamentals!A137</f>
        <v/>
      </c>
      <c r="B137">
        <f>Fundamentals!B137</f>
        <v/>
      </c>
      <c r="C137">
        <f>Fundamentals!C137</f>
        <v/>
      </c>
      <c r="D137" s="15">
        <f>Fundamentals!G137</f>
        <v/>
      </c>
      <c r="E137" s="15">
        <f>Fundamentals!H137</f>
        <v/>
      </c>
      <c r="F137" s="16">
        <f>IF(OR($D137="",$E137="",$E137=0),"",$D137/$E137)</f>
        <v/>
      </c>
      <c r="G137" s="15">
        <f>IF(OR(Fundamentals!I137="",Fundamentals!J137="",Fundamentals!K137=""),"",Fundamentals!I137+Fundamentals!J137-Fundamentals!K137)</f>
        <v/>
      </c>
      <c r="H137" s="17">
        <f>IF(OR($G137="",$D137="",$D137=0),"",$G137/$D137)</f>
        <v/>
      </c>
      <c r="I137" s="17">
        <f>IF(OR(Fundamentals!L137="",$E137="",$E137=0),"",Fundamentals!L137/$E137)</f>
        <v/>
      </c>
      <c r="J137" s="15">
        <f>Fundamentals!O137</f>
        <v/>
      </c>
      <c r="K137">
        <f>IF(OR($A137=""),"",IF(AND($C137&lt;&gt;"Growth",$F137&lt;&gt;"",$F137&lt;cfg_PBR_max,$G137&lt;&gt;"",$G137&gt;0,$J137&lt;&gt;"",$J137&gt;=cfg_Liq_min),1,0))</f>
        <v/>
      </c>
      <c r="L137">
        <f>IF($K137="","",IF($K137=1,"",(IF($C137="Growth","Market=Growth; ",""))&amp;(IF(OR($F137="",$F137&gt;=cfg_PBR_max),"PBR&gt;=max/missing; ",""))&amp;(IF(OR($G137="",$G137&lt;=0),"NetCash&lt;=0/missing; ",""))&amp;(IF(OR($J137="",$J137&lt;cfg_Liq_min),"Liquidity&lt;min/missing; ",""))))</f>
        <v/>
      </c>
      <c r="M137">
        <f>IF($A137="","",IF(OR($D137="",$E137="",Fundamentals!I137="",Fundamentals!K137="",$J137=""),1,0))</f>
        <v/>
      </c>
      <c r="N137">
        <f>Fundamentals!U137</f>
        <v/>
      </c>
    </row>
    <row r="138">
      <c r="A138">
        <f>Fundamentals!A138</f>
        <v/>
      </c>
      <c r="B138">
        <f>Fundamentals!B138</f>
        <v/>
      </c>
      <c r="C138">
        <f>Fundamentals!C138</f>
        <v/>
      </c>
      <c r="D138" s="15">
        <f>Fundamentals!G138</f>
        <v/>
      </c>
      <c r="E138" s="15">
        <f>Fundamentals!H138</f>
        <v/>
      </c>
      <c r="F138" s="16">
        <f>IF(OR($D138="",$E138="",$E138=0),"",$D138/$E138)</f>
        <v/>
      </c>
      <c r="G138" s="15">
        <f>IF(OR(Fundamentals!I138="",Fundamentals!J138="",Fundamentals!K138=""),"",Fundamentals!I138+Fundamentals!J138-Fundamentals!K138)</f>
        <v/>
      </c>
      <c r="H138" s="17">
        <f>IF(OR($G138="",$D138="",$D138=0),"",$G138/$D138)</f>
        <v/>
      </c>
      <c r="I138" s="17">
        <f>IF(OR(Fundamentals!L138="",$E138="",$E138=0),"",Fundamentals!L138/$E138)</f>
        <v/>
      </c>
      <c r="J138" s="15">
        <f>Fundamentals!O138</f>
        <v/>
      </c>
      <c r="K138">
        <f>IF(OR($A138=""),"",IF(AND($C138&lt;&gt;"Growth",$F138&lt;&gt;"",$F138&lt;cfg_PBR_max,$G138&lt;&gt;"",$G138&gt;0,$J138&lt;&gt;"",$J138&gt;=cfg_Liq_min),1,0))</f>
        <v/>
      </c>
      <c r="L138">
        <f>IF($K138="","",IF($K138=1,"",(IF($C138="Growth","Market=Growth; ",""))&amp;(IF(OR($F138="",$F138&gt;=cfg_PBR_max),"PBR&gt;=max/missing; ",""))&amp;(IF(OR($G138="",$G138&lt;=0),"NetCash&lt;=0/missing; ",""))&amp;(IF(OR($J138="",$J138&lt;cfg_Liq_min),"Liquidity&lt;min/missing; ",""))))</f>
        <v/>
      </c>
      <c r="M138">
        <f>IF($A138="","",IF(OR($D138="",$E138="",Fundamentals!I138="",Fundamentals!K138="",$J138=""),1,0))</f>
        <v/>
      </c>
      <c r="N138">
        <f>Fundamentals!U138</f>
        <v/>
      </c>
    </row>
    <row r="139">
      <c r="A139">
        <f>Fundamentals!A139</f>
        <v/>
      </c>
      <c r="B139">
        <f>Fundamentals!B139</f>
        <v/>
      </c>
      <c r="C139">
        <f>Fundamentals!C139</f>
        <v/>
      </c>
      <c r="D139" s="15">
        <f>Fundamentals!G139</f>
        <v/>
      </c>
      <c r="E139" s="15">
        <f>Fundamentals!H139</f>
        <v/>
      </c>
      <c r="F139" s="16">
        <f>IF(OR($D139="",$E139="",$E139=0),"",$D139/$E139)</f>
        <v/>
      </c>
      <c r="G139" s="15">
        <f>IF(OR(Fundamentals!I139="",Fundamentals!J139="",Fundamentals!K139=""),"",Fundamentals!I139+Fundamentals!J139-Fundamentals!K139)</f>
        <v/>
      </c>
      <c r="H139" s="17">
        <f>IF(OR($G139="",$D139="",$D139=0),"",$G139/$D139)</f>
        <v/>
      </c>
      <c r="I139" s="17">
        <f>IF(OR(Fundamentals!L139="",$E139="",$E139=0),"",Fundamentals!L139/$E139)</f>
        <v/>
      </c>
      <c r="J139" s="15">
        <f>Fundamentals!O139</f>
        <v/>
      </c>
      <c r="K139">
        <f>IF(OR($A139=""),"",IF(AND($C139&lt;&gt;"Growth",$F139&lt;&gt;"",$F139&lt;cfg_PBR_max,$G139&lt;&gt;"",$G139&gt;0,$J139&lt;&gt;"",$J139&gt;=cfg_Liq_min),1,0))</f>
        <v/>
      </c>
      <c r="L139">
        <f>IF($K139="","",IF($K139=1,"",(IF($C139="Growth","Market=Growth; ",""))&amp;(IF(OR($F139="",$F139&gt;=cfg_PBR_max),"PBR&gt;=max/missing; ",""))&amp;(IF(OR($G139="",$G139&lt;=0),"NetCash&lt;=0/missing; ",""))&amp;(IF(OR($J139="",$J139&lt;cfg_Liq_min),"Liquidity&lt;min/missing; ",""))))</f>
        <v/>
      </c>
      <c r="M139">
        <f>IF($A139="","",IF(OR($D139="",$E139="",Fundamentals!I139="",Fundamentals!K139="",$J139=""),1,0))</f>
        <v/>
      </c>
      <c r="N139">
        <f>Fundamentals!U139</f>
        <v/>
      </c>
    </row>
    <row r="140">
      <c r="A140">
        <f>Fundamentals!A140</f>
        <v/>
      </c>
      <c r="B140">
        <f>Fundamentals!B140</f>
        <v/>
      </c>
      <c r="C140">
        <f>Fundamentals!C140</f>
        <v/>
      </c>
      <c r="D140" s="15">
        <f>Fundamentals!G140</f>
        <v/>
      </c>
      <c r="E140" s="15">
        <f>Fundamentals!H140</f>
        <v/>
      </c>
      <c r="F140" s="16">
        <f>IF(OR($D140="",$E140="",$E140=0),"",$D140/$E140)</f>
        <v/>
      </c>
      <c r="G140" s="15">
        <f>IF(OR(Fundamentals!I140="",Fundamentals!J140="",Fundamentals!K140=""),"",Fundamentals!I140+Fundamentals!J140-Fundamentals!K140)</f>
        <v/>
      </c>
      <c r="H140" s="17">
        <f>IF(OR($G140="",$D140="",$D140=0),"",$G140/$D140)</f>
        <v/>
      </c>
      <c r="I140" s="17">
        <f>IF(OR(Fundamentals!L140="",$E140="",$E140=0),"",Fundamentals!L140/$E140)</f>
        <v/>
      </c>
      <c r="J140" s="15">
        <f>Fundamentals!O140</f>
        <v/>
      </c>
      <c r="K140">
        <f>IF(OR($A140=""),"",IF(AND($C140&lt;&gt;"Growth",$F140&lt;&gt;"",$F140&lt;cfg_PBR_max,$G140&lt;&gt;"",$G140&gt;0,$J140&lt;&gt;"",$J140&gt;=cfg_Liq_min),1,0))</f>
        <v/>
      </c>
      <c r="L140">
        <f>IF($K140="","",IF($K140=1,"",(IF($C140="Growth","Market=Growth; ",""))&amp;(IF(OR($F140="",$F140&gt;=cfg_PBR_max),"PBR&gt;=max/missing; ",""))&amp;(IF(OR($G140="",$G140&lt;=0),"NetCash&lt;=0/missing; ",""))&amp;(IF(OR($J140="",$J140&lt;cfg_Liq_min),"Liquidity&lt;min/missing; ",""))))</f>
        <v/>
      </c>
      <c r="M140">
        <f>IF($A140="","",IF(OR($D140="",$E140="",Fundamentals!I140="",Fundamentals!K140="",$J140=""),1,0))</f>
        <v/>
      </c>
      <c r="N140">
        <f>Fundamentals!U140</f>
        <v/>
      </c>
    </row>
    <row r="141">
      <c r="A141">
        <f>Fundamentals!A141</f>
        <v/>
      </c>
      <c r="B141">
        <f>Fundamentals!B141</f>
        <v/>
      </c>
      <c r="C141">
        <f>Fundamentals!C141</f>
        <v/>
      </c>
      <c r="D141" s="15">
        <f>Fundamentals!G141</f>
        <v/>
      </c>
      <c r="E141" s="15">
        <f>Fundamentals!H141</f>
        <v/>
      </c>
      <c r="F141" s="16">
        <f>IF(OR($D141="",$E141="",$E141=0),"",$D141/$E141)</f>
        <v/>
      </c>
      <c r="G141" s="15">
        <f>IF(OR(Fundamentals!I141="",Fundamentals!J141="",Fundamentals!K141=""),"",Fundamentals!I141+Fundamentals!J141-Fundamentals!K141)</f>
        <v/>
      </c>
      <c r="H141" s="17">
        <f>IF(OR($G141="",$D141="",$D141=0),"",$G141/$D141)</f>
        <v/>
      </c>
      <c r="I141" s="17">
        <f>IF(OR(Fundamentals!L141="",$E141="",$E141=0),"",Fundamentals!L141/$E141)</f>
        <v/>
      </c>
      <c r="J141" s="15">
        <f>Fundamentals!O141</f>
        <v/>
      </c>
      <c r="K141">
        <f>IF(OR($A141=""),"",IF(AND($C141&lt;&gt;"Growth",$F141&lt;&gt;"",$F141&lt;cfg_PBR_max,$G141&lt;&gt;"",$G141&gt;0,$J141&lt;&gt;"",$J141&gt;=cfg_Liq_min),1,0))</f>
        <v/>
      </c>
      <c r="L141">
        <f>IF($K141="","",IF($K141=1,"",(IF($C141="Growth","Market=Growth; ",""))&amp;(IF(OR($F141="",$F141&gt;=cfg_PBR_max),"PBR&gt;=max/missing; ",""))&amp;(IF(OR($G141="",$G141&lt;=0),"NetCash&lt;=0/missing; ",""))&amp;(IF(OR($J141="",$J141&lt;cfg_Liq_min),"Liquidity&lt;min/missing; ",""))))</f>
        <v/>
      </c>
      <c r="M141">
        <f>IF($A141="","",IF(OR($D141="",$E141="",Fundamentals!I141="",Fundamentals!K141="",$J141=""),1,0))</f>
        <v/>
      </c>
      <c r="N141">
        <f>Fundamentals!U141</f>
        <v/>
      </c>
    </row>
    <row r="142">
      <c r="A142">
        <f>Fundamentals!A142</f>
        <v/>
      </c>
      <c r="B142">
        <f>Fundamentals!B142</f>
        <v/>
      </c>
      <c r="C142">
        <f>Fundamentals!C142</f>
        <v/>
      </c>
      <c r="D142" s="15">
        <f>Fundamentals!G142</f>
        <v/>
      </c>
      <c r="E142" s="15">
        <f>Fundamentals!H142</f>
        <v/>
      </c>
      <c r="F142" s="16">
        <f>IF(OR($D142="",$E142="",$E142=0),"",$D142/$E142)</f>
        <v/>
      </c>
      <c r="G142" s="15">
        <f>IF(OR(Fundamentals!I142="",Fundamentals!J142="",Fundamentals!K142=""),"",Fundamentals!I142+Fundamentals!J142-Fundamentals!K142)</f>
        <v/>
      </c>
      <c r="H142" s="17">
        <f>IF(OR($G142="",$D142="",$D142=0),"",$G142/$D142)</f>
        <v/>
      </c>
      <c r="I142" s="17">
        <f>IF(OR(Fundamentals!L142="",$E142="",$E142=0),"",Fundamentals!L142/$E142)</f>
        <v/>
      </c>
      <c r="J142" s="15">
        <f>Fundamentals!O142</f>
        <v/>
      </c>
      <c r="K142">
        <f>IF(OR($A142=""),"",IF(AND($C142&lt;&gt;"Growth",$F142&lt;&gt;"",$F142&lt;cfg_PBR_max,$G142&lt;&gt;"",$G142&gt;0,$J142&lt;&gt;"",$J142&gt;=cfg_Liq_min),1,0))</f>
        <v/>
      </c>
      <c r="L142">
        <f>IF($K142="","",IF($K142=1,"",(IF($C142="Growth","Market=Growth; ",""))&amp;(IF(OR($F142="",$F142&gt;=cfg_PBR_max),"PBR&gt;=max/missing; ",""))&amp;(IF(OR($G142="",$G142&lt;=0),"NetCash&lt;=0/missing; ",""))&amp;(IF(OR($J142="",$J142&lt;cfg_Liq_min),"Liquidity&lt;min/missing; ",""))))</f>
        <v/>
      </c>
      <c r="M142">
        <f>IF($A142="","",IF(OR($D142="",$E142="",Fundamentals!I142="",Fundamentals!K142="",$J142=""),1,0))</f>
        <v/>
      </c>
      <c r="N142">
        <f>Fundamentals!U142</f>
        <v/>
      </c>
    </row>
    <row r="143">
      <c r="A143">
        <f>Fundamentals!A143</f>
        <v/>
      </c>
      <c r="B143">
        <f>Fundamentals!B143</f>
        <v/>
      </c>
      <c r="C143">
        <f>Fundamentals!C143</f>
        <v/>
      </c>
      <c r="D143" s="15">
        <f>Fundamentals!G143</f>
        <v/>
      </c>
      <c r="E143" s="15">
        <f>Fundamentals!H143</f>
        <v/>
      </c>
      <c r="F143" s="16">
        <f>IF(OR($D143="",$E143="",$E143=0),"",$D143/$E143)</f>
        <v/>
      </c>
      <c r="G143" s="15">
        <f>IF(OR(Fundamentals!I143="",Fundamentals!J143="",Fundamentals!K143=""),"",Fundamentals!I143+Fundamentals!J143-Fundamentals!K143)</f>
        <v/>
      </c>
      <c r="H143" s="17">
        <f>IF(OR($G143="",$D143="",$D143=0),"",$G143/$D143)</f>
        <v/>
      </c>
      <c r="I143" s="17">
        <f>IF(OR(Fundamentals!L143="",$E143="",$E143=0),"",Fundamentals!L143/$E143)</f>
        <v/>
      </c>
      <c r="J143" s="15">
        <f>Fundamentals!O143</f>
        <v/>
      </c>
      <c r="K143">
        <f>IF(OR($A143=""),"",IF(AND($C143&lt;&gt;"Growth",$F143&lt;&gt;"",$F143&lt;cfg_PBR_max,$G143&lt;&gt;"",$G143&gt;0,$J143&lt;&gt;"",$J143&gt;=cfg_Liq_min),1,0))</f>
        <v/>
      </c>
      <c r="L143">
        <f>IF($K143="","",IF($K143=1,"",(IF($C143="Growth","Market=Growth; ",""))&amp;(IF(OR($F143="",$F143&gt;=cfg_PBR_max),"PBR&gt;=max/missing; ",""))&amp;(IF(OR($G143="",$G143&lt;=0),"NetCash&lt;=0/missing; ",""))&amp;(IF(OR($J143="",$J143&lt;cfg_Liq_min),"Liquidity&lt;min/missing; ",""))))</f>
        <v/>
      </c>
      <c r="M143">
        <f>IF($A143="","",IF(OR($D143="",$E143="",Fundamentals!I143="",Fundamentals!K143="",$J143=""),1,0))</f>
        <v/>
      </c>
      <c r="N143">
        <f>Fundamentals!U143</f>
        <v/>
      </c>
    </row>
    <row r="144">
      <c r="A144">
        <f>Fundamentals!A144</f>
        <v/>
      </c>
      <c r="B144">
        <f>Fundamentals!B144</f>
        <v/>
      </c>
      <c r="C144">
        <f>Fundamentals!C144</f>
        <v/>
      </c>
      <c r="D144" s="15">
        <f>Fundamentals!G144</f>
        <v/>
      </c>
      <c r="E144" s="15">
        <f>Fundamentals!H144</f>
        <v/>
      </c>
      <c r="F144" s="16">
        <f>IF(OR($D144="",$E144="",$E144=0),"",$D144/$E144)</f>
        <v/>
      </c>
      <c r="G144" s="15">
        <f>IF(OR(Fundamentals!I144="",Fundamentals!J144="",Fundamentals!K144=""),"",Fundamentals!I144+Fundamentals!J144-Fundamentals!K144)</f>
        <v/>
      </c>
      <c r="H144" s="17">
        <f>IF(OR($G144="",$D144="",$D144=0),"",$G144/$D144)</f>
        <v/>
      </c>
      <c r="I144" s="17">
        <f>IF(OR(Fundamentals!L144="",$E144="",$E144=0),"",Fundamentals!L144/$E144)</f>
        <v/>
      </c>
      <c r="J144" s="15">
        <f>Fundamentals!O144</f>
        <v/>
      </c>
      <c r="K144">
        <f>IF(OR($A144=""),"",IF(AND($C144&lt;&gt;"Growth",$F144&lt;&gt;"",$F144&lt;cfg_PBR_max,$G144&lt;&gt;"",$G144&gt;0,$J144&lt;&gt;"",$J144&gt;=cfg_Liq_min),1,0))</f>
        <v/>
      </c>
      <c r="L144">
        <f>IF($K144="","",IF($K144=1,"",(IF($C144="Growth","Market=Growth; ",""))&amp;(IF(OR($F144="",$F144&gt;=cfg_PBR_max),"PBR&gt;=max/missing; ",""))&amp;(IF(OR($G144="",$G144&lt;=0),"NetCash&lt;=0/missing; ",""))&amp;(IF(OR($J144="",$J144&lt;cfg_Liq_min),"Liquidity&lt;min/missing; ",""))))</f>
        <v/>
      </c>
      <c r="M144">
        <f>IF($A144="","",IF(OR($D144="",$E144="",Fundamentals!I144="",Fundamentals!K144="",$J144=""),1,0))</f>
        <v/>
      </c>
      <c r="N144">
        <f>Fundamentals!U144</f>
        <v/>
      </c>
    </row>
    <row r="145">
      <c r="A145">
        <f>Fundamentals!A145</f>
        <v/>
      </c>
      <c r="B145">
        <f>Fundamentals!B145</f>
        <v/>
      </c>
      <c r="C145">
        <f>Fundamentals!C145</f>
        <v/>
      </c>
      <c r="D145" s="15">
        <f>Fundamentals!G145</f>
        <v/>
      </c>
      <c r="E145" s="15">
        <f>Fundamentals!H145</f>
        <v/>
      </c>
      <c r="F145" s="16">
        <f>IF(OR($D145="",$E145="",$E145=0),"",$D145/$E145)</f>
        <v/>
      </c>
      <c r="G145" s="15">
        <f>IF(OR(Fundamentals!I145="",Fundamentals!J145="",Fundamentals!K145=""),"",Fundamentals!I145+Fundamentals!J145-Fundamentals!K145)</f>
        <v/>
      </c>
      <c r="H145" s="17">
        <f>IF(OR($G145="",$D145="",$D145=0),"",$G145/$D145)</f>
        <v/>
      </c>
      <c r="I145" s="17">
        <f>IF(OR(Fundamentals!L145="",$E145="",$E145=0),"",Fundamentals!L145/$E145)</f>
        <v/>
      </c>
      <c r="J145" s="15">
        <f>Fundamentals!O145</f>
        <v/>
      </c>
      <c r="K145">
        <f>IF(OR($A145=""),"",IF(AND($C145&lt;&gt;"Growth",$F145&lt;&gt;"",$F145&lt;cfg_PBR_max,$G145&lt;&gt;"",$G145&gt;0,$J145&lt;&gt;"",$J145&gt;=cfg_Liq_min),1,0))</f>
        <v/>
      </c>
      <c r="L145">
        <f>IF($K145="","",IF($K145=1,"",(IF($C145="Growth","Market=Growth; ",""))&amp;(IF(OR($F145="",$F145&gt;=cfg_PBR_max),"PBR&gt;=max/missing; ",""))&amp;(IF(OR($G145="",$G145&lt;=0),"NetCash&lt;=0/missing; ",""))&amp;(IF(OR($J145="",$J145&lt;cfg_Liq_min),"Liquidity&lt;min/missing; ",""))))</f>
        <v/>
      </c>
      <c r="M145">
        <f>IF($A145="","",IF(OR($D145="",$E145="",Fundamentals!I145="",Fundamentals!K145="",$J145=""),1,0))</f>
        <v/>
      </c>
      <c r="N145">
        <f>Fundamentals!U145</f>
        <v/>
      </c>
    </row>
    <row r="146">
      <c r="A146">
        <f>Fundamentals!A146</f>
        <v/>
      </c>
      <c r="B146">
        <f>Fundamentals!B146</f>
        <v/>
      </c>
      <c r="C146">
        <f>Fundamentals!C146</f>
        <v/>
      </c>
      <c r="D146" s="15">
        <f>Fundamentals!G146</f>
        <v/>
      </c>
      <c r="E146" s="15">
        <f>Fundamentals!H146</f>
        <v/>
      </c>
      <c r="F146" s="16">
        <f>IF(OR($D146="",$E146="",$E146=0),"",$D146/$E146)</f>
        <v/>
      </c>
      <c r="G146" s="15">
        <f>IF(OR(Fundamentals!I146="",Fundamentals!J146="",Fundamentals!K146=""),"",Fundamentals!I146+Fundamentals!J146-Fundamentals!K146)</f>
        <v/>
      </c>
      <c r="H146" s="17">
        <f>IF(OR($G146="",$D146="",$D146=0),"",$G146/$D146)</f>
        <v/>
      </c>
      <c r="I146" s="17">
        <f>IF(OR(Fundamentals!L146="",$E146="",$E146=0),"",Fundamentals!L146/$E146)</f>
        <v/>
      </c>
      <c r="J146" s="15">
        <f>Fundamentals!O146</f>
        <v/>
      </c>
      <c r="K146">
        <f>IF(OR($A146=""),"",IF(AND($C146&lt;&gt;"Growth",$F146&lt;&gt;"",$F146&lt;cfg_PBR_max,$G146&lt;&gt;"",$G146&gt;0,$J146&lt;&gt;"",$J146&gt;=cfg_Liq_min),1,0))</f>
        <v/>
      </c>
      <c r="L146">
        <f>IF($K146="","",IF($K146=1,"",(IF($C146="Growth","Market=Growth; ",""))&amp;(IF(OR($F146="",$F146&gt;=cfg_PBR_max),"PBR&gt;=max/missing; ",""))&amp;(IF(OR($G146="",$G146&lt;=0),"NetCash&lt;=0/missing; ",""))&amp;(IF(OR($J146="",$J146&lt;cfg_Liq_min),"Liquidity&lt;min/missing; ",""))))</f>
        <v/>
      </c>
      <c r="M146">
        <f>IF($A146="","",IF(OR($D146="",$E146="",Fundamentals!I146="",Fundamentals!K146="",$J146=""),1,0))</f>
        <v/>
      </c>
      <c r="N146">
        <f>Fundamentals!U146</f>
        <v/>
      </c>
    </row>
    <row r="147">
      <c r="A147">
        <f>Fundamentals!A147</f>
        <v/>
      </c>
      <c r="B147">
        <f>Fundamentals!B147</f>
        <v/>
      </c>
      <c r="C147">
        <f>Fundamentals!C147</f>
        <v/>
      </c>
      <c r="D147" s="15">
        <f>Fundamentals!G147</f>
        <v/>
      </c>
      <c r="E147" s="15">
        <f>Fundamentals!H147</f>
        <v/>
      </c>
      <c r="F147" s="16">
        <f>IF(OR($D147="",$E147="",$E147=0),"",$D147/$E147)</f>
        <v/>
      </c>
      <c r="G147" s="15">
        <f>IF(OR(Fundamentals!I147="",Fundamentals!J147="",Fundamentals!K147=""),"",Fundamentals!I147+Fundamentals!J147-Fundamentals!K147)</f>
        <v/>
      </c>
      <c r="H147" s="17">
        <f>IF(OR($G147="",$D147="",$D147=0),"",$G147/$D147)</f>
        <v/>
      </c>
      <c r="I147" s="17">
        <f>IF(OR(Fundamentals!L147="",$E147="",$E147=0),"",Fundamentals!L147/$E147)</f>
        <v/>
      </c>
      <c r="J147" s="15">
        <f>Fundamentals!O147</f>
        <v/>
      </c>
      <c r="K147">
        <f>IF(OR($A147=""),"",IF(AND($C147&lt;&gt;"Growth",$F147&lt;&gt;"",$F147&lt;cfg_PBR_max,$G147&lt;&gt;"",$G147&gt;0,$J147&lt;&gt;"",$J147&gt;=cfg_Liq_min),1,0))</f>
        <v/>
      </c>
      <c r="L147">
        <f>IF($K147="","",IF($K147=1,"",(IF($C147="Growth","Market=Growth; ",""))&amp;(IF(OR($F147="",$F147&gt;=cfg_PBR_max),"PBR&gt;=max/missing; ",""))&amp;(IF(OR($G147="",$G147&lt;=0),"NetCash&lt;=0/missing; ",""))&amp;(IF(OR($J147="",$J147&lt;cfg_Liq_min),"Liquidity&lt;min/missing; ",""))))</f>
        <v/>
      </c>
      <c r="M147">
        <f>IF($A147="","",IF(OR($D147="",$E147="",Fundamentals!I147="",Fundamentals!K147="",$J147=""),1,0))</f>
        <v/>
      </c>
      <c r="N147">
        <f>Fundamentals!U147</f>
        <v/>
      </c>
    </row>
    <row r="148">
      <c r="A148">
        <f>Fundamentals!A148</f>
        <v/>
      </c>
      <c r="B148">
        <f>Fundamentals!B148</f>
        <v/>
      </c>
      <c r="C148">
        <f>Fundamentals!C148</f>
        <v/>
      </c>
      <c r="D148" s="15">
        <f>Fundamentals!G148</f>
        <v/>
      </c>
      <c r="E148" s="15">
        <f>Fundamentals!H148</f>
        <v/>
      </c>
      <c r="F148" s="16">
        <f>IF(OR($D148="",$E148="",$E148=0),"",$D148/$E148)</f>
        <v/>
      </c>
      <c r="G148" s="15">
        <f>IF(OR(Fundamentals!I148="",Fundamentals!J148="",Fundamentals!K148=""),"",Fundamentals!I148+Fundamentals!J148-Fundamentals!K148)</f>
        <v/>
      </c>
      <c r="H148" s="17">
        <f>IF(OR($G148="",$D148="",$D148=0),"",$G148/$D148)</f>
        <v/>
      </c>
      <c r="I148" s="17">
        <f>IF(OR(Fundamentals!L148="",$E148="",$E148=0),"",Fundamentals!L148/$E148)</f>
        <v/>
      </c>
      <c r="J148" s="15">
        <f>Fundamentals!O148</f>
        <v/>
      </c>
      <c r="K148">
        <f>IF(OR($A148=""),"",IF(AND($C148&lt;&gt;"Growth",$F148&lt;&gt;"",$F148&lt;cfg_PBR_max,$G148&lt;&gt;"",$G148&gt;0,$J148&lt;&gt;"",$J148&gt;=cfg_Liq_min),1,0))</f>
        <v/>
      </c>
      <c r="L148">
        <f>IF($K148="","",IF($K148=1,"",(IF($C148="Growth","Market=Growth; ",""))&amp;(IF(OR($F148="",$F148&gt;=cfg_PBR_max),"PBR&gt;=max/missing; ",""))&amp;(IF(OR($G148="",$G148&lt;=0),"NetCash&lt;=0/missing; ",""))&amp;(IF(OR($J148="",$J148&lt;cfg_Liq_min),"Liquidity&lt;min/missing; ",""))))</f>
        <v/>
      </c>
      <c r="M148">
        <f>IF($A148="","",IF(OR($D148="",$E148="",Fundamentals!I148="",Fundamentals!K148="",$J148=""),1,0))</f>
        <v/>
      </c>
      <c r="N148">
        <f>Fundamentals!U148</f>
        <v/>
      </c>
    </row>
    <row r="149">
      <c r="A149">
        <f>Fundamentals!A149</f>
        <v/>
      </c>
      <c r="B149">
        <f>Fundamentals!B149</f>
        <v/>
      </c>
      <c r="C149">
        <f>Fundamentals!C149</f>
        <v/>
      </c>
      <c r="D149" s="15">
        <f>Fundamentals!G149</f>
        <v/>
      </c>
      <c r="E149" s="15">
        <f>Fundamentals!H149</f>
        <v/>
      </c>
      <c r="F149" s="16">
        <f>IF(OR($D149="",$E149="",$E149=0),"",$D149/$E149)</f>
        <v/>
      </c>
      <c r="G149" s="15">
        <f>IF(OR(Fundamentals!I149="",Fundamentals!J149="",Fundamentals!K149=""),"",Fundamentals!I149+Fundamentals!J149-Fundamentals!K149)</f>
        <v/>
      </c>
      <c r="H149" s="17">
        <f>IF(OR($G149="",$D149="",$D149=0),"",$G149/$D149)</f>
        <v/>
      </c>
      <c r="I149" s="17">
        <f>IF(OR(Fundamentals!L149="",$E149="",$E149=0),"",Fundamentals!L149/$E149)</f>
        <v/>
      </c>
      <c r="J149" s="15">
        <f>Fundamentals!O149</f>
        <v/>
      </c>
      <c r="K149">
        <f>IF(OR($A149=""),"",IF(AND($C149&lt;&gt;"Growth",$F149&lt;&gt;"",$F149&lt;cfg_PBR_max,$G149&lt;&gt;"",$G149&gt;0,$J149&lt;&gt;"",$J149&gt;=cfg_Liq_min),1,0))</f>
        <v/>
      </c>
      <c r="L149">
        <f>IF($K149="","",IF($K149=1,"",(IF($C149="Growth","Market=Growth; ",""))&amp;(IF(OR($F149="",$F149&gt;=cfg_PBR_max),"PBR&gt;=max/missing; ",""))&amp;(IF(OR($G149="",$G149&lt;=0),"NetCash&lt;=0/missing; ",""))&amp;(IF(OR($J149="",$J149&lt;cfg_Liq_min),"Liquidity&lt;min/missing; ",""))))</f>
        <v/>
      </c>
      <c r="M149">
        <f>IF($A149="","",IF(OR($D149="",$E149="",Fundamentals!I149="",Fundamentals!K149="",$J149=""),1,0))</f>
        <v/>
      </c>
      <c r="N149">
        <f>Fundamentals!U149</f>
        <v/>
      </c>
    </row>
    <row r="150">
      <c r="A150">
        <f>Fundamentals!A150</f>
        <v/>
      </c>
      <c r="B150">
        <f>Fundamentals!B150</f>
        <v/>
      </c>
      <c r="C150">
        <f>Fundamentals!C150</f>
        <v/>
      </c>
      <c r="D150" s="15">
        <f>Fundamentals!G150</f>
        <v/>
      </c>
      <c r="E150" s="15">
        <f>Fundamentals!H150</f>
        <v/>
      </c>
      <c r="F150" s="16">
        <f>IF(OR($D150="",$E150="",$E150=0),"",$D150/$E150)</f>
        <v/>
      </c>
      <c r="G150" s="15">
        <f>IF(OR(Fundamentals!I150="",Fundamentals!J150="",Fundamentals!K150=""),"",Fundamentals!I150+Fundamentals!J150-Fundamentals!K150)</f>
        <v/>
      </c>
      <c r="H150" s="17">
        <f>IF(OR($G150="",$D150="",$D150=0),"",$G150/$D150)</f>
        <v/>
      </c>
      <c r="I150" s="17">
        <f>IF(OR(Fundamentals!L150="",$E150="",$E150=0),"",Fundamentals!L150/$E150)</f>
        <v/>
      </c>
      <c r="J150" s="15">
        <f>Fundamentals!O150</f>
        <v/>
      </c>
      <c r="K150">
        <f>IF(OR($A150=""),"",IF(AND($C150&lt;&gt;"Growth",$F150&lt;&gt;"",$F150&lt;cfg_PBR_max,$G150&lt;&gt;"",$G150&gt;0,$J150&lt;&gt;"",$J150&gt;=cfg_Liq_min),1,0))</f>
        <v/>
      </c>
      <c r="L150">
        <f>IF($K150="","",IF($K150=1,"",(IF($C150="Growth","Market=Growth; ",""))&amp;(IF(OR($F150="",$F150&gt;=cfg_PBR_max),"PBR&gt;=max/missing; ",""))&amp;(IF(OR($G150="",$G150&lt;=0),"NetCash&lt;=0/missing; ",""))&amp;(IF(OR($J150="",$J150&lt;cfg_Liq_min),"Liquidity&lt;min/missing; ",""))))</f>
        <v/>
      </c>
      <c r="M150">
        <f>IF($A150="","",IF(OR($D150="",$E150="",Fundamentals!I150="",Fundamentals!K150="",$J150=""),1,0))</f>
        <v/>
      </c>
      <c r="N150">
        <f>Fundamentals!U150</f>
        <v/>
      </c>
    </row>
    <row r="151">
      <c r="A151">
        <f>Fundamentals!A151</f>
        <v/>
      </c>
      <c r="B151">
        <f>Fundamentals!B151</f>
        <v/>
      </c>
      <c r="C151">
        <f>Fundamentals!C151</f>
        <v/>
      </c>
      <c r="D151" s="15">
        <f>Fundamentals!G151</f>
        <v/>
      </c>
      <c r="E151" s="15">
        <f>Fundamentals!H151</f>
        <v/>
      </c>
      <c r="F151" s="16">
        <f>IF(OR($D151="",$E151="",$E151=0),"",$D151/$E151)</f>
        <v/>
      </c>
      <c r="G151" s="15">
        <f>IF(OR(Fundamentals!I151="",Fundamentals!J151="",Fundamentals!K151=""),"",Fundamentals!I151+Fundamentals!J151-Fundamentals!K151)</f>
        <v/>
      </c>
      <c r="H151" s="17">
        <f>IF(OR($G151="",$D151="",$D151=0),"",$G151/$D151)</f>
        <v/>
      </c>
      <c r="I151" s="17">
        <f>IF(OR(Fundamentals!L151="",$E151="",$E151=0),"",Fundamentals!L151/$E151)</f>
        <v/>
      </c>
      <c r="J151" s="15">
        <f>Fundamentals!O151</f>
        <v/>
      </c>
      <c r="K151">
        <f>IF(OR($A151=""),"",IF(AND($C151&lt;&gt;"Growth",$F151&lt;&gt;"",$F151&lt;cfg_PBR_max,$G151&lt;&gt;"",$G151&gt;0,$J151&lt;&gt;"",$J151&gt;=cfg_Liq_min),1,0))</f>
        <v/>
      </c>
      <c r="L151">
        <f>IF($K151="","",IF($K151=1,"",(IF($C151="Growth","Market=Growth; ",""))&amp;(IF(OR($F151="",$F151&gt;=cfg_PBR_max),"PBR&gt;=max/missing; ",""))&amp;(IF(OR($G151="",$G151&lt;=0),"NetCash&lt;=0/missing; ",""))&amp;(IF(OR($J151="",$J151&lt;cfg_Liq_min),"Liquidity&lt;min/missing; ",""))))</f>
        <v/>
      </c>
      <c r="M151">
        <f>IF($A151="","",IF(OR($D151="",$E151="",Fundamentals!I151="",Fundamentals!K151="",$J151=""),1,0))</f>
        <v/>
      </c>
      <c r="N151">
        <f>Fundamentals!U151</f>
        <v/>
      </c>
    </row>
    <row r="152">
      <c r="A152">
        <f>Fundamentals!A152</f>
        <v/>
      </c>
      <c r="B152">
        <f>Fundamentals!B152</f>
        <v/>
      </c>
      <c r="C152">
        <f>Fundamentals!C152</f>
        <v/>
      </c>
      <c r="D152" s="15">
        <f>Fundamentals!G152</f>
        <v/>
      </c>
      <c r="E152" s="15">
        <f>Fundamentals!H152</f>
        <v/>
      </c>
      <c r="F152" s="16">
        <f>IF(OR($D152="",$E152="",$E152=0),"",$D152/$E152)</f>
        <v/>
      </c>
      <c r="G152" s="15">
        <f>IF(OR(Fundamentals!I152="",Fundamentals!J152="",Fundamentals!K152=""),"",Fundamentals!I152+Fundamentals!J152-Fundamentals!K152)</f>
        <v/>
      </c>
      <c r="H152" s="17">
        <f>IF(OR($G152="",$D152="",$D152=0),"",$G152/$D152)</f>
        <v/>
      </c>
      <c r="I152" s="17">
        <f>IF(OR(Fundamentals!L152="",$E152="",$E152=0),"",Fundamentals!L152/$E152)</f>
        <v/>
      </c>
      <c r="J152" s="15">
        <f>Fundamentals!O152</f>
        <v/>
      </c>
      <c r="K152">
        <f>IF(OR($A152=""),"",IF(AND($C152&lt;&gt;"Growth",$F152&lt;&gt;"",$F152&lt;cfg_PBR_max,$G152&lt;&gt;"",$G152&gt;0,$J152&lt;&gt;"",$J152&gt;=cfg_Liq_min),1,0))</f>
        <v/>
      </c>
      <c r="L152">
        <f>IF($K152="","",IF($K152=1,"",(IF($C152="Growth","Market=Growth; ",""))&amp;(IF(OR($F152="",$F152&gt;=cfg_PBR_max),"PBR&gt;=max/missing; ",""))&amp;(IF(OR($G152="",$G152&lt;=0),"NetCash&lt;=0/missing; ",""))&amp;(IF(OR($J152="",$J152&lt;cfg_Liq_min),"Liquidity&lt;min/missing; ",""))))</f>
        <v/>
      </c>
      <c r="M152">
        <f>IF($A152="","",IF(OR($D152="",$E152="",Fundamentals!I152="",Fundamentals!K152="",$J152=""),1,0))</f>
        <v/>
      </c>
      <c r="N152">
        <f>Fundamentals!U152</f>
        <v/>
      </c>
    </row>
    <row r="153">
      <c r="A153">
        <f>Fundamentals!A153</f>
        <v/>
      </c>
      <c r="B153">
        <f>Fundamentals!B153</f>
        <v/>
      </c>
      <c r="C153">
        <f>Fundamentals!C153</f>
        <v/>
      </c>
      <c r="D153" s="15">
        <f>Fundamentals!G153</f>
        <v/>
      </c>
      <c r="E153" s="15">
        <f>Fundamentals!H153</f>
        <v/>
      </c>
      <c r="F153" s="16">
        <f>IF(OR($D153="",$E153="",$E153=0),"",$D153/$E153)</f>
        <v/>
      </c>
      <c r="G153" s="15">
        <f>IF(OR(Fundamentals!I153="",Fundamentals!J153="",Fundamentals!K153=""),"",Fundamentals!I153+Fundamentals!J153-Fundamentals!K153)</f>
        <v/>
      </c>
      <c r="H153" s="17">
        <f>IF(OR($G153="",$D153="",$D153=0),"",$G153/$D153)</f>
        <v/>
      </c>
      <c r="I153" s="17">
        <f>IF(OR(Fundamentals!L153="",$E153="",$E153=0),"",Fundamentals!L153/$E153)</f>
        <v/>
      </c>
      <c r="J153" s="15">
        <f>Fundamentals!O153</f>
        <v/>
      </c>
      <c r="K153">
        <f>IF(OR($A153=""),"",IF(AND($C153&lt;&gt;"Growth",$F153&lt;&gt;"",$F153&lt;cfg_PBR_max,$G153&lt;&gt;"",$G153&gt;0,$J153&lt;&gt;"",$J153&gt;=cfg_Liq_min),1,0))</f>
        <v/>
      </c>
      <c r="L153">
        <f>IF($K153="","",IF($K153=1,"",(IF($C153="Growth","Market=Growth; ",""))&amp;(IF(OR($F153="",$F153&gt;=cfg_PBR_max),"PBR&gt;=max/missing; ",""))&amp;(IF(OR($G153="",$G153&lt;=0),"NetCash&lt;=0/missing; ",""))&amp;(IF(OR($J153="",$J153&lt;cfg_Liq_min),"Liquidity&lt;min/missing; ",""))))</f>
        <v/>
      </c>
      <c r="M153">
        <f>IF($A153="","",IF(OR($D153="",$E153="",Fundamentals!I153="",Fundamentals!K153="",$J153=""),1,0))</f>
        <v/>
      </c>
      <c r="N153">
        <f>Fundamentals!U153</f>
        <v/>
      </c>
    </row>
    <row r="154">
      <c r="A154">
        <f>Fundamentals!A154</f>
        <v/>
      </c>
      <c r="B154">
        <f>Fundamentals!B154</f>
        <v/>
      </c>
      <c r="C154">
        <f>Fundamentals!C154</f>
        <v/>
      </c>
      <c r="D154" s="15">
        <f>Fundamentals!G154</f>
        <v/>
      </c>
      <c r="E154" s="15">
        <f>Fundamentals!H154</f>
        <v/>
      </c>
      <c r="F154" s="16">
        <f>IF(OR($D154="",$E154="",$E154=0),"",$D154/$E154)</f>
        <v/>
      </c>
      <c r="G154" s="15">
        <f>IF(OR(Fundamentals!I154="",Fundamentals!J154="",Fundamentals!K154=""),"",Fundamentals!I154+Fundamentals!J154-Fundamentals!K154)</f>
        <v/>
      </c>
      <c r="H154" s="17">
        <f>IF(OR($G154="",$D154="",$D154=0),"",$G154/$D154)</f>
        <v/>
      </c>
      <c r="I154" s="17">
        <f>IF(OR(Fundamentals!L154="",$E154="",$E154=0),"",Fundamentals!L154/$E154)</f>
        <v/>
      </c>
      <c r="J154" s="15">
        <f>Fundamentals!O154</f>
        <v/>
      </c>
      <c r="K154">
        <f>IF(OR($A154=""),"",IF(AND($C154&lt;&gt;"Growth",$F154&lt;&gt;"",$F154&lt;cfg_PBR_max,$G154&lt;&gt;"",$G154&gt;0,$J154&lt;&gt;"",$J154&gt;=cfg_Liq_min),1,0))</f>
        <v/>
      </c>
      <c r="L154">
        <f>IF($K154="","",IF($K154=1,"",(IF($C154="Growth","Market=Growth; ",""))&amp;(IF(OR($F154="",$F154&gt;=cfg_PBR_max),"PBR&gt;=max/missing; ",""))&amp;(IF(OR($G154="",$G154&lt;=0),"NetCash&lt;=0/missing; ",""))&amp;(IF(OR($J154="",$J154&lt;cfg_Liq_min),"Liquidity&lt;min/missing; ",""))))</f>
        <v/>
      </c>
      <c r="M154">
        <f>IF($A154="","",IF(OR($D154="",$E154="",Fundamentals!I154="",Fundamentals!K154="",$J154=""),1,0))</f>
        <v/>
      </c>
      <c r="N154">
        <f>Fundamentals!U154</f>
        <v/>
      </c>
    </row>
    <row r="155">
      <c r="A155">
        <f>Fundamentals!A155</f>
        <v/>
      </c>
      <c r="B155">
        <f>Fundamentals!B155</f>
        <v/>
      </c>
      <c r="C155">
        <f>Fundamentals!C155</f>
        <v/>
      </c>
      <c r="D155" s="15">
        <f>Fundamentals!G155</f>
        <v/>
      </c>
      <c r="E155" s="15">
        <f>Fundamentals!H155</f>
        <v/>
      </c>
      <c r="F155" s="16">
        <f>IF(OR($D155="",$E155="",$E155=0),"",$D155/$E155)</f>
        <v/>
      </c>
      <c r="G155" s="15">
        <f>IF(OR(Fundamentals!I155="",Fundamentals!J155="",Fundamentals!K155=""),"",Fundamentals!I155+Fundamentals!J155-Fundamentals!K155)</f>
        <v/>
      </c>
      <c r="H155" s="17">
        <f>IF(OR($G155="",$D155="",$D155=0),"",$G155/$D155)</f>
        <v/>
      </c>
      <c r="I155" s="17">
        <f>IF(OR(Fundamentals!L155="",$E155="",$E155=0),"",Fundamentals!L155/$E155)</f>
        <v/>
      </c>
      <c r="J155" s="15">
        <f>Fundamentals!O155</f>
        <v/>
      </c>
      <c r="K155">
        <f>IF(OR($A155=""),"",IF(AND($C155&lt;&gt;"Growth",$F155&lt;&gt;"",$F155&lt;cfg_PBR_max,$G155&lt;&gt;"",$G155&gt;0,$J155&lt;&gt;"",$J155&gt;=cfg_Liq_min),1,0))</f>
        <v/>
      </c>
      <c r="L155">
        <f>IF($K155="","",IF($K155=1,"",(IF($C155="Growth","Market=Growth; ",""))&amp;(IF(OR($F155="",$F155&gt;=cfg_PBR_max),"PBR&gt;=max/missing; ",""))&amp;(IF(OR($G155="",$G155&lt;=0),"NetCash&lt;=0/missing; ",""))&amp;(IF(OR($J155="",$J155&lt;cfg_Liq_min),"Liquidity&lt;min/missing; ",""))))</f>
        <v/>
      </c>
      <c r="M155">
        <f>IF($A155="","",IF(OR($D155="",$E155="",Fundamentals!I155="",Fundamentals!K155="",$J155=""),1,0))</f>
        <v/>
      </c>
      <c r="N155">
        <f>Fundamentals!U155</f>
        <v/>
      </c>
    </row>
    <row r="156">
      <c r="A156">
        <f>Fundamentals!A156</f>
        <v/>
      </c>
      <c r="B156">
        <f>Fundamentals!B156</f>
        <v/>
      </c>
      <c r="C156">
        <f>Fundamentals!C156</f>
        <v/>
      </c>
      <c r="D156" s="15">
        <f>Fundamentals!G156</f>
        <v/>
      </c>
      <c r="E156" s="15">
        <f>Fundamentals!H156</f>
        <v/>
      </c>
      <c r="F156" s="16">
        <f>IF(OR($D156="",$E156="",$E156=0),"",$D156/$E156)</f>
        <v/>
      </c>
      <c r="G156" s="15">
        <f>IF(OR(Fundamentals!I156="",Fundamentals!J156="",Fundamentals!K156=""),"",Fundamentals!I156+Fundamentals!J156-Fundamentals!K156)</f>
        <v/>
      </c>
      <c r="H156" s="17">
        <f>IF(OR($G156="",$D156="",$D156=0),"",$G156/$D156)</f>
        <v/>
      </c>
      <c r="I156" s="17">
        <f>IF(OR(Fundamentals!L156="",$E156="",$E156=0),"",Fundamentals!L156/$E156)</f>
        <v/>
      </c>
      <c r="J156" s="15">
        <f>Fundamentals!O156</f>
        <v/>
      </c>
      <c r="K156">
        <f>IF(OR($A156=""),"",IF(AND($C156&lt;&gt;"Growth",$F156&lt;&gt;"",$F156&lt;cfg_PBR_max,$G156&lt;&gt;"",$G156&gt;0,$J156&lt;&gt;"",$J156&gt;=cfg_Liq_min),1,0))</f>
        <v/>
      </c>
      <c r="L156">
        <f>IF($K156="","",IF($K156=1,"",(IF($C156="Growth","Market=Growth; ",""))&amp;(IF(OR($F156="",$F156&gt;=cfg_PBR_max),"PBR&gt;=max/missing; ",""))&amp;(IF(OR($G156="",$G156&lt;=0),"NetCash&lt;=0/missing; ",""))&amp;(IF(OR($J156="",$J156&lt;cfg_Liq_min),"Liquidity&lt;min/missing; ",""))))</f>
        <v/>
      </c>
      <c r="M156">
        <f>IF($A156="","",IF(OR($D156="",$E156="",Fundamentals!I156="",Fundamentals!K156="",$J156=""),1,0))</f>
        <v/>
      </c>
      <c r="N156">
        <f>Fundamentals!U156</f>
        <v/>
      </c>
    </row>
    <row r="157">
      <c r="A157">
        <f>Fundamentals!A157</f>
        <v/>
      </c>
      <c r="B157">
        <f>Fundamentals!B157</f>
        <v/>
      </c>
      <c r="C157">
        <f>Fundamentals!C157</f>
        <v/>
      </c>
      <c r="D157" s="15">
        <f>Fundamentals!G157</f>
        <v/>
      </c>
      <c r="E157" s="15">
        <f>Fundamentals!H157</f>
        <v/>
      </c>
      <c r="F157" s="16">
        <f>IF(OR($D157="",$E157="",$E157=0),"",$D157/$E157)</f>
        <v/>
      </c>
      <c r="G157" s="15">
        <f>IF(OR(Fundamentals!I157="",Fundamentals!J157="",Fundamentals!K157=""),"",Fundamentals!I157+Fundamentals!J157-Fundamentals!K157)</f>
        <v/>
      </c>
      <c r="H157" s="17">
        <f>IF(OR($G157="",$D157="",$D157=0),"",$G157/$D157)</f>
        <v/>
      </c>
      <c r="I157" s="17">
        <f>IF(OR(Fundamentals!L157="",$E157="",$E157=0),"",Fundamentals!L157/$E157)</f>
        <v/>
      </c>
      <c r="J157" s="15">
        <f>Fundamentals!O157</f>
        <v/>
      </c>
      <c r="K157">
        <f>IF(OR($A157=""),"",IF(AND($C157&lt;&gt;"Growth",$F157&lt;&gt;"",$F157&lt;cfg_PBR_max,$G157&lt;&gt;"",$G157&gt;0,$J157&lt;&gt;"",$J157&gt;=cfg_Liq_min),1,0))</f>
        <v/>
      </c>
      <c r="L157">
        <f>IF($K157="","",IF($K157=1,"",(IF($C157="Growth","Market=Growth; ",""))&amp;(IF(OR($F157="",$F157&gt;=cfg_PBR_max),"PBR&gt;=max/missing; ",""))&amp;(IF(OR($G157="",$G157&lt;=0),"NetCash&lt;=0/missing; ",""))&amp;(IF(OR($J157="",$J157&lt;cfg_Liq_min),"Liquidity&lt;min/missing; ",""))))</f>
        <v/>
      </c>
      <c r="M157">
        <f>IF($A157="","",IF(OR($D157="",$E157="",Fundamentals!I157="",Fundamentals!K157="",$J157=""),1,0))</f>
        <v/>
      </c>
      <c r="N157">
        <f>Fundamentals!U157</f>
        <v/>
      </c>
    </row>
    <row r="158">
      <c r="A158">
        <f>Fundamentals!A158</f>
        <v/>
      </c>
      <c r="B158">
        <f>Fundamentals!B158</f>
        <v/>
      </c>
      <c r="C158">
        <f>Fundamentals!C158</f>
        <v/>
      </c>
      <c r="D158" s="15">
        <f>Fundamentals!G158</f>
        <v/>
      </c>
      <c r="E158" s="15">
        <f>Fundamentals!H158</f>
        <v/>
      </c>
      <c r="F158" s="16">
        <f>IF(OR($D158="",$E158="",$E158=0),"",$D158/$E158)</f>
        <v/>
      </c>
      <c r="G158" s="15">
        <f>IF(OR(Fundamentals!I158="",Fundamentals!J158="",Fundamentals!K158=""),"",Fundamentals!I158+Fundamentals!J158-Fundamentals!K158)</f>
        <v/>
      </c>
      <c r="H158" s="17">
        <f>IF(OR($G158="",$D158="",$D158=0),"",$G158/$D158)</f>
        <v/>
      </c>
      <c r="I158" s="17">
        <f>IF(OR(Fundamentals!L158="",$E158="",$E158=0),"",Fundamentals!L158/$E158)</f>
        <v/>
      </c>
      <c r="J158" s="15">
        <f>Fundamentals!O158</f>
        <v/>
      </c>
      <c r="K158">
        <f>IF(OR($A158=""),"",IF(AND($C158&lt;&gt;"Growth",$F158&lt;&gt;"",$F158&lt;cfg_PBR_max,$G158&lt;&gt;"",$G158&gt;0,$J158&lt;&gt;"",$J158&gt;=cfg_Liq_min),1,0))</f>
        <v/>
      </c>
      <c r="L158">
        <f>IF($K158="","",IF($K158=1,"",(IF($C158="Growth","Market=Growth; ",""))&amp;(IF(OR($F158="",$F158&gt;=cfg_PBR_max),"PBR&gt;=max/missing; ",""))&amp;(IF(OR($G158="",$G158&lt;=0),"NetCash&lt;=0/missing; ",""))&amp;(IF(OR($J158="",$J158&lt;cfg_Liq_min),"Liquidity&lt;min/missing; ",""))))</f>
        <v/>
      </c>
      <c r="M158">
        <f>IF($A158="","",IF(OR($D158="",$E158="",Fundamentals!I158="",Fundamentals!K158="",$J158=""),1,0))</f>
        <v/>
      </c>
      <c r="N158">
        <f>Fundamentals!U158</f>
        <v/>
      </c>
    </row>
    <row r="159">
      <c r="A159">
        <f>Fundamentals!A159</f>
        <v/>
      </c>
      <c r="B159">
        <f>Fundamentals!B159</f>
        <v/>
      </c>
      <c r="C159">
        <f>Fundamentals!C159</f>
        <v/>
      </c>
      <c r="D159" s="15">
        <f>Fundamentals!G159</f>
        <v/>
      </c>
      <c r="E159" s="15">
        <f>Fundamentals!H159</f>
        <v/>
      </c>
      <c r="F159" s="16">
        <f>IF(OR($D159="",$E159="",$E159=0),"",$D159/$E159)</f>
        <v/>
      </c>
      <c r="G159" s="15">
        <f>IF(OR(Fundamentals!I159="",Fundamentals!J159="",Fundamentals!K159=""),"",Fundamentals!I159+Fundamentals!J159-Fundamentals!K159)</f>
        <v/>
      </c>
      <c r="H159" s="17">
        <f>IF(OR($G159="",$D159="",$D159=0),"",$G159/$D159)</f>
        <v/>
      </c>
      <c r="I159" s="17">
        <f>IF(OR(Fundamentals!L159="",$E159="",$E159=0),"",Fundamentals!L159/$E159)</f>
        <v/>
      </c>
      <c r="J159" s="15">
        <f>Fundamentals!O159</f>
        <v/>
      </c>
      <c r="K159">
        <f>IF(OR($A159=""),"",IF(AND($C159&lt;&gt;"Growth",$F159&lt;&gt;"",$F159&lt;cfg_PBR_max,$G159&lt;&gt;"",$G159&gt;0,$J159&lt;&gt;"",$J159&gt;=cfg_Liq_min),1,0))</f>
        <v/>
      </c>
      <c r="L159">
        <f>IF($K159="","",IF($K159=1,"",(IF($C159="Growth","Market=Growth; ",""))&amp;(IF(OR($F159="",$F159&gt;=cfg_PBR_max),"PBR&gt;=max/missing; ",""))&amp;(IF(OR($G159="",$G159&lt;=0),"NetCash&lt;=0/missing; ",""))&amp;(IF(OR($J159="",$J159&lt;cfg_Liq_min),"Liquidity&lt;min/missing; ",""))))</f>
        <v/>
      </c>
      <c r="M159">
        <f>IF($A159="","",IF(OR($D159="",$E159="",Fundamentals!I159="",Fundamentals!K159="",$J159=""),1,0))</f>
        <v/>
      </c>
      <c r="N159">
        <f>Fundamentals!U159</f>
        <v/>
      </c>
    </row>
    <row r="160">
      <c r="A160">
        <f>Fundamentals!A160</f>
        <v/>
      </c>
      <c r="B160">
        <f>Fundamentals!B160</f>
        <v/>
      </c>
      <c r="C160">
        <f>Fundamentals!C160</f>
        <v/>
      </c>
      <c r="D160" s="15">
        <f>Fundamentals!G160</f>
        <v/>
      </c>
      <c r="E160" s="15">
        <f>Fundamentals!H160</f>
        <v/>
      </c>
      <c r="F160" s="16">
        <f>IF(OR($D160="",$E160="",$E160=0),"",$D160/$E160)</f>
        <v/>
      </c>
      <c r="G160" s="15">
        <f>IF(OR(Fundamentals!I160="",Fundamentals!J160="",Fundamentals!K160=""),"",Fundamentals!I160+Fundamentals!J160-Fundamentals!K160)</f>
        <v/>
      </c>
      <c r="H160" s="17">
        <f>IF(OR($G160="",$D160="",$D160=0),"",$G160/$D160)</f>
        <v/>
      </c>
      <c r="I160" s="17">
        <f>IF(OR(Fundamentals!L160="",$E160="",$E160=0),"",Fundamentals!L160/$E160)</f>
        <v/>
      </c>
      <c r="J160" s="15">
        <f>Fundamentals!O160</f>
        <v/>
      </c>
      <c r="K160">
        <f>IF(OR($A160=""),"",IF(AND($C160&lt;&gt;"Growth",$F160&lt;&gt;"",$F160&lt;cfg_PBR_max,$G160&lt;&gt;"",$G160&gt;0,$J160&lt;&gt;"",$J160&gt;=cfg_Liq_min),1,0))</f>
        <v/>
      </c>
      <c r="L160">
        <f>IF($K160="","",IF($K160=1,"",(IF($C160="Growth","Market=Growth; ",""))&amp;(IF(OR($F160="",$F160&gt;=cfg_PBR_max),"PBR&gt;=max/missing; ",""))&amp;(IF(OR($G160="",$G160&lt;=0),"NetCash&lt;=0/missing; ",""))&amp;(IF(OR($J160="",$J160&lt;cfg_Liq_min),"Liquidity&lt;min/missing; ",""))))</f>
        <v/>
      </c>
      <c r="M160">
        <f>IF($A160="","",IF(OR($D160="",$E160="",Fundamentals!I160="",Fundamentals!K160="",$J160=""),1,0))</f>
        <v/>
      </c>
      <c r="N160">
        <f>Fundamentals!U160</f>
        <v/>
      </c>
    </row>
    <row r="161">
      <c r="A161">
        <f>Fundamentals!A161</f>
        <v/>
      </c>
      <c r="B161">
        <f>Fundamentals!B161</f>
        <v/>
      </c>
      <c r="C161">
        <f>Fundamentals!C161</f>
        <v/>
      </c>
      <c r="D161" s="15">
        <f>Fundamentals!G161</f>
        <v/>
      </c>
      <c r="E161" s="15">
        <f>Fundamentals!H161</f>
        <v/>
      </c>
      <c r="F161" s="16">
        <f>IF(OR($D161="",$E161="",$E161=0),"",$D161/$E161)</f>
        <v/>
      </c>
      <c r="G161" s="15">
        <f>IF(OR(Fundamentals!I161="",Fundamentals!J161="",Fundamentals!K161=""),"",Fundamentals!I161+Fundamentals!J161-Fundamentals!K161)</f>
        <v/>
      </c>
      <c r="H161" s="17">
        <f>IF(OR($G161="",$D161="",$D161=0),"",$G161/$D161)</f>
        <v/>
      </c>
      <c r="I161" s="17">
        <f>IF(OR(Fundamentals!L161="",$E161="",$E161=0),"",Fundamentals!L161/$E161)</f>
        <v/>
      </c>
      <c r="J161" s="15">
        <f>Fundamentals!O161</f>
        <v/>
      </c>
      <c r="K161">
        <f>IF(OR($A161=""),"",IF(AND($C161&lt;&gt;"Growth",$F161&lt;&gt;"",$F161&lt;cfg_PBR_max,$G161&lt;&gt;"",$G161&gt;0,$J161&lt;&gt;"",$J161&gt;=cfg_Liq_min),1,0))</f>
        <v/>
      </c>
      <c r="L161">
        <f>IF($K161="","",IF($K161=1,"",(IF($C161="Growth","Market=Growth; ",""))&amp;(IF(OR($F161="",$F161&gt;=cfg_PBR_max),"PBR&gt;=max/missing; ",""))&amp;(IF(OR($G161="",$G161&lt;=0),"NetCash&lt;=0/missing; ",""))&amp;(IF(OR($J161="",$J161&lt;cfg_Liq_min),"Liquidity&lt;min/missing; ",""))))</f>
        <v/>
      </c>
      <c r="M161">
        <f>IF($A161="","",IF(OR($D161="",$E161="",Fundamentals!I161="",Fundamentals!K161="",$J161=""),1,0))</f>
        <v/>
      </c>
      <c r="N161">
        <f>Fundamentals!U161</f>
        <v/>
      </c>
    </row>
    <row r="162">
      <c r="A162">
        <f>Fundamentals!A162</f>
        <v/>
      </c>
      <c r="B162">
        <f>Fundamentals!B162</f>
        <v/>
      </c>
      <c r="C162">
        <f>Fundamentals!C162</f>
        <v/>
      </c>
      <c r="D162" s="15">
        <f>Fundamentals!G162</f>
        <v/>
      </c>
      <c r="E162" s="15">
        <f>Fundamentals!H162</f>
        <v/>
      </c>
      <c r="F162" s="16">
        <f>IF(OR($D162="",$E162="",$E162=0),"",$D162/$E162)</f>
        <v/>
      </c>
      <c r="G162" s="15">
        <f>IF(OR(Fundamentals!I162="",Fundamentals!J162="",Fundamentals!K162=""),"",Fundamentals!I162+Fundamentals!J162-Fundamentals!K162)</f>
        <v/>
      </c>
      <c r="H162" s="17">
        <f>IF(OR($G162="",$D162="",$D162=0),"",$G162/$D162)</f>
        <v/>
      </c>
      <c r="I162" s="17">
        <f>IF(OR(Fundamentals!L162="",$E162="",$E162=0),"",Fundamentals!L162/$E162)</f>
        <v/>
      </c>
      <c r="J162" s="15">
        <f>Fundamentals!O162</f>
        <v/>
      </c>
      <c r="K162">
        <f>IF(OR($A162=""),"",IF(AND($C162&lt;&gt;"Growth",$F162&lt;&gt;"",$F162&lt;cfg_PBR_max,$G162&lt;&gt;"",$G162&gt;0,$J162&lt;&gt;"",$J162&gt;=cfg_Liq_min),1,0))</f>
        <v/>
      </c>
      <c r="L162">
        <f>IF($K162="","",IF($K162=1,"",(IF($C162="Growth","Market=Growth; ",""))&amp;(IF(OR($F162="",$F162&gt;=cfg_PBR_max),"PBR&gt;=max/missing; ",""))&amp;(IF(OR($G162="",$G162&lt;=0),"NetCash&lt;=0/missing; ",""))&amp;(IF(OR($J162="",$J162&lt;cfg_Liq_min),"Liquidity&lt;min/missing; ",""))))</f>
        <v/>
      </c>
      <c r="M162">
        <f>IF($A162="","",IF(OR($D162="",$E162="",Fundamentals!I162="",Fundamentals!K162="",$J162=""),1,0))</f>
        <v/>
      </c>
      <c r="N162">
        <f>Fundamentals!U162</f>
        <v/>
      </c>
    </row>
    <row r="163">
      <c r="A163">
        <f>Fundamentals!A163</f>
        <v/>
      </c>
      <c r="B163">
        <f>Fundamentals!B163</f>
        <v/>
      </c>
      <c r="C163">
        <f>Fundamentals!C163</f>
        <v/>
      </c>
      <c r="D163" s="15">
        <f>Fundamentals!G163</f>
        <v/>
      </c>
      <c r="E163" s="15">
        <f>Fundamentals!H163</f>
        <v/>
      </c>
      <c r="F163" s="16">
        <f>IF(OR($D163="",$E163="",$E163=0),"",$D163/$E163)</f>
        <v/>
      </c>
      <c r="G163" s="15">
        <f>IF(OR(Fundamentals!I163="",Fundamentals!J163="",Fundamentals!K163=""),"",Fundamentals!I163+Fundamentals!J163-Fundamentals!K163)</f>
        <v/>
      </c>
      <c r="H163" s="17">
        <f>IF(OR($G163="",$D163="",$D163=0),"",$G163/$D163)</f>
        <v/>
      </c>
      <c r="I163" s="17">
        <f>IF(OR(Fundamentals!L163="",$E163="",$E163=0),"",Fundamentals!L163/$E163)</f>
        <v/>
      </c>
      <c r="J163" s="15">
        <f>Fundamentals!O163</f>
        <v/>
      </c>
      <c r="K163">
        <f>IF(OR($A163=""),"",IF(AND($C163&lt;&gt;"Growth",$F163&lt;&gt;"",$F163&lt;cfg_PBR_max,$G163&lt;&gt;"",$G163&gt;0,$J163&lt;&gt;"",$J163&gt;=cfg_Liq_min),1,0))</f>
        <v/>
      </c>
      <c r="L163">
        <f>IF($K163="","",IF($K163=1,"",(IF($C163="Growth","Market=Growth; ",""))&amp;(IF(OR($F163="",$F163&gt;=cfg_PBR_max),"PBR&gt;=max/missing; ",""))&amp;(IF(OR($G163="",$G163&lt;=0),"NetCash&lt;=0/missing; ",""))&amp;(IF(OR($J163="",$J163&lt;cfg_Liq_min),"Liquidity&lt;min/missing; ",""))))</f>
        <v/>
      </c>
      <c r="M163">
        <f>IF($A163="","",IF(OR($D163="",$E163="",Fundamentals!I163="",Fundamentals!K163="",$J163=""),1,0))</f>
        <v/>
      </c>
      <c r="N163">
        <f>Fundamentals!U163</f>
        <v/>
      </c>
    </row>
    <row r="164">
      <c r="A164">
        <f>Fundamentals!A164</f>
        <v/>
      </c>
      <c r="B164">
        <f>Fundamentals!B164</f>
        <v/>
      </c>
      <c r="C164">
        <f>Fundamentals!C164</f>
        <v/>
      </c>
      <c r="D164" s="15">
        <f>Fundamentals!G164</f>
        <v/>
      </c>
      <c r="E164" s="15">
        <f>Fundamentals!H164</f>
        <v/>
      </c>
      <c r="F164" s="16">
        <f>IF(OR($D164="",$E164="",$E164=0),"",$D164/$E164)</f>
        <v/>
      </c>
      <c r="G164" s="15">
        <f>IF(OR(Fundamentals!I164="",Fundamentals!J164="",Fundamentals!K164=""),"",Fundamentals!I164+Fundamentals!J164-Fundamentals!K164)</f>
        <v/>
      </c>
      <c r="H164" s="17">
        <f>IF(OR($G164="",$D164="",$D164=0),"",$G164/$D164)</f>
        <v/>
      </c>
      <c r="I164" s="17">
        <f>IF(OR(Fundamentals!L164="",$E164="",$E164=0),"",Fundamentals!L164/$E164)</f>
        <v/>
      </c>
      <c r="J164" s="15">
        <f>Fundamentals!O164</f>
        <v/>
      </c>
      <c r="K164">
        <f>IF(OR($A164=""),"",IF(AND($C164&lt;&gt;"Growth",$F164&lt;&gt;"",$F164&lt;cfg_PBR_max,$G164&lt;&gt;"",$G164&gt;0,$J164&lt;&gt;"",$J164&gt;=cfg_Liq_min),1,0))</f>
        <v/>
      </c>
      <c r="L164">
        <f>IF($K164="","",IF($K164=1,"",(IF($C164="Growth","Market=Growth; ",""))&amp;(IF(OR($F164="",$F164&gt;=cfg_PBR_max),"PBR&gt;=max/missing; ",""))&amp;(IF(OR($G164="",$G164&lt;=0),"NetCash&lt;=0/missing; ",""))&amp;(IF(OR($J164="",$J164&lt;cfg_Liq_min),"Liquidity&lt;min/missing; ",""))))</f>
        <v/>
      </c>
      <c r="M164">
        <f>IF($A164="","",IF(OR($D164="",$E164="",Fundamentals!I164="",Fundamentals!K164="",$J164=""),1,0))</f>
        <v/>
      </c>
      <c r="N164">
        <f>Fundamentals!U164</f>
        <v/>
      </c>
    </row>
    <row r="165">
      <c r="A165">
        <f>Fundamentals!A165</f>
        <v/>
      </c>
      <c r="B165">
        <f>Fundamentals!B165</f>
        <v/>
      </c>
      <c r="C165">
        <f>Fundamentals!C165</f>
        <v/>
      </c>
      <c r="D165" s="15">
        <f>Fundamentals!G165</f>
        <v/>
      </c>
      <c r="E165" s="15">
        <f>Fundamentals!H165</f>
        <v/>
      </c>
      <c r="F165" s="16">
        <f>IF(OR($D165="",$E165="",$E165=0),"",$D165/$E165)</f>
        <v/>
      </c>
      <c r="G165" s="15">
        <f>IF(OR(Fundamentals!I165="",Fundamentals!J165="",Fundamentals!K165=""),"",Fundamentals!I165+Fundamentals!J165-Fundamentals!K165)</f>
        <v/>
      </c>
      <c r="H165" s="17">
        <f>IF(OR($G165="",$D165="",$D165=0),"",$G165/$D165)</f>
        <v/>
      </c>
      <c r="I165" s="17">
        <f>IF(OR(Fundamentals!L165="",$E165="",$E165=0),"",Fundamentals!L165/$E165)</f>
        <v/>
      </c>
      <c r="J165" s="15">
        <f>Fundamentals!O165</f>
        <v/>
      </c>
      <c r="K165">
        <f>IF(OR($A165=""),"",IF(AND($C165&lt;&gt;"Growth",$F165&lt;&gt;"",$F165&lt;cfg_PBR_max,$G165&lt;&gt;"",$G165&gt;0,$J165&lt;&gt;"",$J165&gt;=cfg_Liq_min),1,0))</f>
        <v/>
      </c>
      <c r="L165">
        <f>IF($K165="","",IF($K165=1,"",(IF($C165="Growth","Market=Growth; ",""))&amp;(IF(OR($F165="",$F165&gt;=cfg_PBR_max),"PBR&gt;=max/missing; ",""))&amp;(IF(OR($G165="",$G165&lt;=0),"NetCash&lt;=0/missing; ",""))&amp;(IF(OR($J165="",$J165&lt;cfg_Liq_min),"Liquidity&lt;min/missing; ",""))))</f>
        <v/>
      </c>
      <c r="M165">
        <f>IF($A165="","",IF(OR($D165="",$E165="",Fundamentals!I165="",Fundamentals!K165="",$J165=""),1,0))</f>
        <v/>
      </c>
      <c r="N165">
        <f>Fundamentals!U165</f>
        <v/>
      </c>
    </row>
    <row r="166">
      <c r="A166">
        <f>Fundamentals!A166</f>
        <v/>
      </c>
      <c r="B166">
        <f>Fundamentals!B166</f>
        <v/>
      </c>
      <c r="C166">
        <f>Fundamentals!C166</f>
        <v/>
      </c>
      <c r="D166" s="15">
        <f>Fundamentals!G166</f>
        <v/>
      </c>
      <c r="E166" s="15">
        <f>Fundamentals!H166</f>
        <v/>
      </c>
      <c r="F166" s="16">
        <f>IF(OR($D166="",$E166="",$E166=0),"",$D166/$E166)</f>
        <v/>
      </c>
      <c r="G166" s="15">
        <f>IF(OR(Fundamentals!I166="",Fundamentals!J166="",Fundamentals!K166=""),"",Fundamentals!I166+Fundamentals!J166-Fundamentals!K166)</f>
        <v/>
      </c>
      <c r="H166" s="17">
        <f>IF(OR($G166="",$D166="",$D166=0),"",$G166/$D166)</f>
        <v/>
      </c>
      <c r="I166" s="17">
        <f>IF(OR(Fundamentals!L166="",$E166="",$E166=0),"",Fundamentals!L166/$E166)</f>
        <v/>
      </c>
      <c r="J166" s="15">
        <f>Fundamentals!O166</f>
        <v/>
      </c>
      <c r="K166">
        <f>IF(OR($A166=""),"",IF(AND($C166&lt;&gt;"Growth",$F166&lt;&gt;"",$F166&lt;cfg_PBR_max,$G166&lt;&gt;"",$G166&gt;0,$J166&lt;&gt;"",$J166&gt;=cfg_Liq_min),1,0))</f>
        <v/>
      </c>
      <c r="L166">
        <f>IF($K166="","",IF($K166=1,"",(IF($C166="Growth","Market=Growth; ",""))&amp;(IF(OR($F166="",$F166&gt;=cfg_PBR_max),"PBR&gt;=max/missing; ",""))&amp;(IF(OR($G166="",$G166&lt;=0),"NetCash&lt;=0/missing; ",""))&amp;(IF(OR($J166="",$J166&lt;cfg_Liq_min),"Liquidity&lt;min/missing; ",""))))</f>
        <v/>
      </c>
      <c r="M166">
        <f>IF($A166="","",IF(OR($D166="",$E166="",Fundamentals!I166="",Fundamentals!K166="",$J166=""),1,0))</f>
        <v/>
      </c>
      <c r="N166">
        <f>Fundamentals!U166</f>
        <v/>
      </c>
    </row>
    <row r="167">
      <c r="A167">
        <f>Fundamentals!A167</f>
        <v/>
      </c>
      <c r="B167">
        <f>Fundamentals!B167</f>
        <v/>
      </c>
      <c r="C167">
        <f>Fundamentals!C167</f>
        <v/>
      </c>
      <c r="D167" s="15">
        <f>Fundamentals!G167</f>
        <v/>
      </c>
      <c r="E167" s="15">
        <f>Fundamentals!H167</f>
        <v/>
      </c>
      <c r="F167" s="16">
        <f>IF(OR($D167="",$E167="",$E167=0),"",$D167/$E167)</f>
        <v/>
      </c>
      <c r="G167" s="15">
        <f>IF(OR(Fundamentals!I167="",Fundamentals!J167="",Fundamentals!K167=""),"",Fundamentals!I167+Fundamentals!J167-Fundamentals!K167)</f>
        <v/>
      </c>
      <c r="H167" s="17">
        <f>IF(OR($G167="",$D167="",$D167=0),"",$G167/$D167)</f>
        <v/>
      </c>
      <c r="I167" s="17">
        <f>IF(OR(Fundamentals!L167="",$E167="",$E167=0),"",Fundamentals!L167/$E167)</f>
        <v/>
      </c>
      <c r="J167" s="15">
        <f>Fundamentals!O167</f>
        <v/>
      </c>
      <c r="K167">
        <f>IF(OR($A167=""),"",IF(AND($C167&lt;&gt;"Growth",$F167&lt;&gt;"",$F167&lt;cfg_PBR_max,$G167&lt;&gt;"",$G167&gt;0,$J167&lt;&gt;"",$J167&gt;=cfg_Liq_min),1,0))</f>
        <v/>
      </c>
      <c r="L167">
        <f>IF($K167="","",IF($K167=1,"",(IF($C167="Growth","Market=Growth; ",""))&amp;(IF(OR($F167="",$F167&gt;=cfg_PBR_max),"PBR&gt;=max/missing; ",""))&amp;(IF(OR($G167="",$G167&lt;=0),"NetCash&lt;=0/missing; ",""))&amp;(IF(OR($J167="",$J167&lt;cfg_Liq_min),"Liquidity&lt;min/missing; ",""))))</f>
        <v/>
      </c>
      <c r="M167">
        <f>IF($A167="","",IF(OR($D167="",$E167="",Fundamentals!I167="",Fundamentals!K167="",$J167=""),1,0))</f>
        <v/>
      </c>
      <c r="N167">
        <f>Fundamentals!U167</f>
        <v/>
      </c>
    </row>
    <row r="168">
      <c r="A168">
        <f>Fundamentals!A168</f>
        <v/>
      </c>
      <c r="B168">
        <f>Fundamentals!B168</f>
        <v/>
      </c>
      <c r="C168">
        <f>Fundamentals!C168</f>
        <v/>
      </c>
      <c r="D168" s="15">
        <f>Fundamentals!G168</f>
        <v/>
      </c>
      <c r="E168" s="15">
        <f>Fundamentals!H168</f>
        <v/>
      </c>
      <c r="F168" s="16">
        <f>IF(OR($D168="",$E168="",$E168=0),"",$D168/$E168)</f>
        <v/>
      </c>
      <c r="G168" s="15">
        <f>IF(OR(Fundamentals!I168="",Fundamentals!J168="",Fundamentals!K168=""),"",Fundamentals!I168+Fundamentals!J168-Fundamentals!K168)</f>
        <v/>
      </c>
      <c r="H168" s="17">
        <f>IF(OR($G168="",$D168="",$D168=0),"",$G168/$D168)</f>
        <v/>
      </c>
      <c r="I168" s="17">
        <f>IF(OR(Fundamentals!L168="",$E168="",$E168=0),"",Fundamentals!L168/$E168)</f>
        <v/>
      </c>
      <c r="J168" s="15">
        <f>Fundamentals!O168</f>
        <v/>
      </c>
      <c r="K168">
        <f>IF(OR($A168=""),"",IF(AND($C168&lt;&gt;"Growth",$F168&lt;&gt;"",$F168&lt;cfg_PBR_max,$G168&lt;&gt;"",$G168&gt;0,$J168&lt;&gt;"",$J168&gt;=cfg_Liq_min),1,0))</f>
        <v/>
      </c>
      <c r="L168">
        <f>IF($K168="","",IF($K168=1,"",(IF($C168="Growth","Market=Growth; ",""))&amp;(IF(OR($F168="",$F168&gt;=cfg_PBR_max),"PBR&gt;=max/missing; ",""))&amp;(IF(OR($G168="",$G168&lt;=0),"NetCash&lt;=0/missing; ",""))&amp;(IF(OR($J168="",$J168&lt;cfg_Liq_min),"Liquidity&lt;min/missing; ",""))))</f>
        <v/>
      </c>
      <c r="M168">
        <f>IF($A168="","",IF(OR($D168="",$E168="",Fundamentals!I168="",Fundamentals!K168="",$J168=""),1,0))</f>
        <v/>
      </c>
      <c r="N168">
        <f>Fundamentals!U168</f>
        <v/>
      </c>
    </row>
    <row r="169">
      <c r="A169">
        <f>Fundamentals!A169</f>
        <v/>
      </c>
      <c r="B169">
        <f>Fundamentals!B169</f>
        <v/>
      </c>
      <c r="C169">
        <f>Fundamentals!C169</f>
        <v/>
      </c>
      <c r="D169" s="15">
        <f>Fundamentals!G169</f>
        <v/>
      </c>
      <c r="E169" s="15">
        <f>Fundamentals!H169</f>
        <v/>
      </c>
      <c r="F169" s="16">
        <f>IF(OR($D169="",$E169="",$E169=0),"",$D169/$E169)</f>
        <v/>
      </c>
      <c r="G169" s="15">
        <f>IF(OR(Fundamentals!I169="",Fundamentals!J169="",Fundamentals!K169=""),"",Fundamentals!I169+Fundamentals!J169-Fundamentals!K169)</f>
        <v/>
      </c>
      <c r="H169" s="17">
        <f>IF(OR($G169="",$D169="",$D169=0),"",$G169/$D169)</f>
        <v/>
      </c>
      <c r="I169" s="17">
        <f>IF(OR(Fundamentals!L169="",$E169="",$E169=0),"",Fundamentals!L169/$E169)</f>
        <v/>
      </c>
      <c r="J169" s="15">
        <f>Fundamentals!O169</f>
        <v/>
      </c>
      <c r="K169">
        <f>IF(OR($A169=""),"",IF(AND($C169&lt;&gt;"Growth",$F169&lt;&gt;"",$F169&lt;cfg_PBR_max,$G169&lt;&gt;"",$G169&gt;0,$J169&lt;&gt;"",$J169&gt;=cfg_Liq_min),1,0))</f>
        <v/>
      </c>
      <c r="L169">
        <f>IF($K169="","",IF($K169=1,"",(IF($C169="Growth","Market=Growth; ",""))&amp;(IF(OR($F169="",$F169&gt;=cfg_PBR_max),"PBR&gt;=max/missing; ",""))&amp;(IF(OR($G169="",$G169&lt;=0),"NetCash&lt;=0/missing; ",""))&amp;(IF(OR($J169="",$J169&lt;cfg_Liq_min),"Liquidity&lt;min/missing; ",""))))</f>
        <v/>
      </c>
      <c r="M169">
        <f>IF($A169="","",IF(OR($D169="",$E169="",Fundamentals!I169="",Fundamentals!K169="",$J169=""),1,0))</f>
        <v/>
      </c>
      <c r="N169">
        <f>Fundamentals!U169</f>
        <v/>
      </c>
    </row>
    <row r="170">
      <c r="A170">
        <f>Fundamentals!A170</f>
        <v/>
      </c>
      <c r="B170">
        <f>Fundamentals!B170</f>
        <v/>
      </c>
      <c r="C170">
        <f>Fundamentals!C170</f>
        <v/>
      </c>
      <c r="D170" s="15">
        <f>Fundamentals!G170</f>
        <v/>
      </c>
      <c r="E170" s="15">
        <f>Fundamentals!H170</f>
        <v/>
      </c>
      <c r="F170" s="16">
        <f>IF(OR($D170="",$E170="",$E170=0),"",$D170/$E170)</f>
        <v/>
      </c>
      <c r="G170" s="15">
        <f>IF(OR(Fundamentals!I170="",Fundamentals!J170="",Fundamentals!K170=""),"",Fundamentals!I170+Fundamentals!J170-Fundamentals!K170)</f>
        <v/>
      </c>
      <c r="H170" s="17">
        <f>IF(OR($G170="",$D170="",$D170=0),"",$G170/$D170)</f>
        <v/>
      </c>
      <c r="I170" s="17">
        <f>IF(OR(Fundamentals!L170="",$E170="",$E170=0),"",Fundamentals!L170/$E170)</f>
        <v/>
      </c>
      <c r="J170" s="15">
        <f>Fundamentals!O170</f>
        <v/>
      </c>
      <c r="K170">
        <f>IF(OR($A170=""),"",IF(AND($C170&lt;&gt;"Growth",$F170&lt;&gt;"",$F170&lt;cfg_PBR_max,$G170&lt;&gt;"",$G170&gt;0,$J170&lt;&gt;"",$J170&gt;=cfg_Liq_min),1,0))</f>
        <v/>
      </c>
      <c r="L170">
        <f>IF($K170="","",IF($K170=1,"",(IF($C170="Growth","Market=Growth; ",""))&amp;(IF(OR($F170="",$F170&gt;=cfg_PBR_max),"PBR&gt;=max/missing; ",""))&amp;(IF(OR($G170="",$G170&lt;=0),"NetCash&lt;=0/missing; ",""))&amp;(IF(OR($J170="",$J170&lt;cfg_Liq_min),"Liquidity&lt;min/missing; ",""))))</f>
        <v/>
      </c>
      <c r="M170">
        <f>IF($A170="","",IF(OR($D170="",$E170="",Fundamentals!I170="",Fundamentals!K170="",$J170=""),1,0))</f>
        <v/>
      </c>
      <c r="N170">
        <f>Fundamentals!U170</f>
        <v/>
      </c>
    </row>
    <row r="171">
      <c r="A171">
        <f>Fundamentals!A171</f>
        <v/>
      </c>
      <c r="B171">
        <f>Fundamentals!B171</f>
        <v/>
      </c>
      <c r="C171">
        <f>Fundamentals!C171</f>
        <v/>
      </c>
      <c r="D171" s="15">
        <f>Fundamentals!G171</f>
        <v/>
      </c>
      <c r="E171" s="15">
        <f>Fundamentals!H171</f>
        <v/>
      </c>
      <c r="F171" s="16">
        <f>IF(OR($D171="",$E171="",$E171=0),"",$D171/$E171)</f>
        <v/>
      </c>
      <c r="G171" s="15">
        <f>IF(OR(Fundamentals!I171="",Fundamentals!J171="",Fundamentals!K171=""),"",Fundamentals!I171+Fundamentals!J171-Fundamentals!K171)</f>
        <v/>
      </c>
      <c r="H171" s="17">
        <f>IF(OR($G171="",$D171="",$D171=0),"",$G171/$D171)</f>
        <v/>
      </c>
      <c r="I171" s="17">
        <f>IF(OR(Fundamentals!L171="",$E171="",$E171=0),"",Fundamentals!L171/$E171)</f>
        <v/>
      </c>
      <c r="J171" s="15">
        <f>Fundamentals!O171</f>
        <v/>
      </c>
      <c r="K171">
        <f>IF(OR($A171=""),"",IF(AND($C171&lt;&gt;"Growth",$F171&lt;&gt;"",$F171&lt;cfg_PBR_max,$G171&lt;&gt;"",$G171&gt;0,$J171&lt;&gt;"",$J171&gt;=cfg_Liq_min),1,0))</f>
        <v/>
      </c>
      <c r="L171">
        <f>IF($K171="","",IF($K171=1,"",(IF($C171="Growth","Market=Growth; ",""))&amp;(IF(OR($F171="",$F171&gt;=cfg_PBR_max),"PBR&gt;=max/missing; ",""))&amp;(IF(OR($G171="",$G171&lt;=0),"NetCash&lt;=0/missing; ",""))&amp;(IF(OR($J171="",$J171&lt;cfg_Liq_min),"Liquidity&lt;min/missing; ",""))))</f>
        <v/>
      </c>
      <c r="M171">
        <f>IF($A171="","",IF(OR($D171="",$E171="",Fundamentals!I171="",Fundamentals!K171="",$J171=""),1,0))</f>
        <v/>
      </c>
      <c r="N171">
        <f>Fundamentals!U171</f>
        <v/>
      </c>
    </row>
    <row r="172">
      <c r="A172">
        <f>Fundamentals!A172</f>
        <v/>
      </c>
      <c r="B172">
        <f>Fundamentals!B172</f>
        <v/>
      </c>
      <c r="C172">
        <f>Fundamentals!C172</f>
        <v/>
      </c>
      <c r="D172" s="15">
        <f>Fundamentals!G172</f>
        <v/>
      </c>
      <c r="E172" s="15">
        <f>Fundamentals!H172</f>
        <v/>
      </c>
      <c r="F172" s="16">
        <f>IF(OR($D172="",$E172="",$E172=0),"",$D172/$E172)</f>
        <v/>
      </c>
      <c r="G172" s="15">
        <f>IF(OR(Fundamentals!I172="",Fundamentals!J172="",Fundamentals!K172=""),"",Fundamentals!I172+Fundamentals!J172-Fundamentals!K172)</f>
        <v/>
      </c>
      <c r="H172" s="17">
        <f>IF(OR($G172="",$D172="",$D172=0),"",$G172/$D172)</f>
        <v/>
      </c>
      <c r="I172" s="17">
        <f>IF(OR(Fundamentals!L172="",$E172="",$E172=0),"",Fundamentals!L172/$E172)</f>
        <v/>
      </c>
      <c r="J172" s="15">
        <f>Fundamentals!O172</f>
        <v/>
      </c>
      <c r="K172">
        <f>IF(OR($A172=""),"",IF(AND($C172&lt;&gt;"Growth",$F172&lt;&gt;"",$F172&lt;cfg_PBR_max,$G172&lt;&gt;"",$G172&gt;0,$J172&lt;&gt;"",$J172&gt;=cfg_Liq_min),1,0))</f>
        <v/>
      </c>
      <c r="L172">
        <f>IF($K172="","",IF($K172=1,"",(IF($C172="Growth","Market=Growth; ",""))&amp;(IF(OR($F172="",$F172&gt;=cfg_PBR_max),"PBR&gt;=max/missing; ",""))&amp;(IF(OR($G172="",$G172&lt;=0),"NetCash&lt;=0/missing; ",""))&amp;(IF(OR($J172="",$J172&lt;cfg_Liq_min),"Liquidity&lt;min/missing; ",""))))</f>
        <v/>
      </c>
      <c r="M172">
        <f>IF($A172="","",IF(OR($D172="",$E172="",Fundamentals!I172="",Fundamentals!K172="",$J172=""),1,0))</f>
        <v/>
      </c>
      <c r="N172">
        <f>Fundamentals!U172</f>
        <v/>
      </c>
    </row>
    <row r="173">
      <c r="A173">
        <f>Fundamentals!A173</f>
        <v/>
      </c>
      <c r="B173">
        <f>Fundamentals!B173</f>
        <v/>
      </c>
      <c r="C173">
        <f>Fundamentals!C173</f>
        <v/>
      </c>
      <c r="D173" s="15">
        <f>Fundamentals!G173</f>
        <v/>
      </c>
      <c r="E173" s="15">
        <f>Fundamentals!H173</f>
        <v/>
      </c>
      <c r="F173" s="16">
        <f>IF(OR($D173="",$E173="",$E173=0),"",$D173/$E173)</f>
        <v/>
      </c>
      <c r="G173" s="15">
        <f>IF(OR(Fundamentals!I173="",Fundamentals!J173="",Fundamentals!K173=""),"",Fundamentals!I173+Fundamentals!J173-Fundamentals!K173)</f>
        <v/>
      </c>
      <c r="H173" s="17">
        <f>IF(OR($G173="",$D173="",$D173=0),"",$G173/$D173)</f>
        <v/>
      </c>
      <c r="I173" s="17">
        <f>IF(OR(Fundamentals!L173="",$E173="",$E173=0),"",Fundamentals!L173/$E173)</f>
        <v/>
      </c>
      <c r="J173" s="15">
        <f>Fundamentals!O173</f>
        <v/>
      </c>
      <c r="K173">
        <f>IF(OR($A173=""),"",IF(AND($C173&lt;&gt;"Growth",$F173&lt;&gt;"",$F173&lt;cfg_PBR_max,$G173&lt;&gt;"",$G173&gt;0,$J173&lt;&gt;"",$J173&gt;=cfg_Liq_min),1,0))</f>
        <v/>
      </c>
      <c r="L173">
        <f>IF($K173="","",IF($K173=1,"",(IF($C173="Growth","Market=Growth; ",""))&amp;(IF(OR($F173="",$F173&gt;=cfg_PBR_max),"PBR&gt;=max/missing; ",""))&amp;(IF(OR($G173="",$G173&lt;=0),"NetCash&lt;=0/missing; ",""))&amp;(IF(OR($J173="",$J173&lt;cfg_Liq_min),"Liquidity&lt;min/missing; ",""))))</f>
        <v/>
      </c>
      <c r="M173">
        <f>IF($A173="","",IF(OR($D173="",$E173="",Fundamentals!I173="",Fundamentals!K173="",$J173=""),1,0))</f>
        <v/>
      </c>
      <c r="N173">
        <f>Fundamentals!U173</f>
        <v/>
      </c>
    </row>
    <row r="174">
      <c r="A174">
        <f>Fundamentals!A174</f>
        <v/>
      </c>
      <c r="B174">
        <f>Fundamentals!B174</f>
        <v/>
      </c>
      <c r="C174">
        <f>Fundamentals!C174</f>
        <v/>
      </c>
      <c r="D174" s="15">
        <f>Fundamentals!G174</f>
        <v/>
      </c>
      <c r="E174" s="15">
        <f>Fundamentals!H174</f>
        <v/>
      </c>
      <c r="F174" s="16">
        <f>IF(OR($D174="",$E174="",$E174=0),"",$D174/$E174)</f>
        <v/>
      </c>
      <c r="G174" s="15">
        <f>IF(OR(Fundamentals!I174="",Fundamentals!J174="",Fundamentals!K174=""),"",Fundamentals!I174+Fundamentals!J174-Fundamentals!K174)</f>
        <v/>
      </c>
      <c r="H174" s="17">
        <f>IF(OR($G174="",$D174="",$D174=0),"",$G174/$D174)</f>
        <v/>
      </c>
      <c r="I174" s="17">
        <f>IF(OR(Fundamentals!L174="",$E174="",$E174=0),"",Fundamentals!L174/$E174)</f>
        <v/>
      </c>
      <c r="J174" s="15">
        <f>Fundamentals!O174</f>
        <v/>
      </c>
      <c r="K174">
        <f>IF(OR($A174=""),"",IF(AND($C174&lt;&gt;"Growth",$F174&lt;&gt;"",$F174&lt;cfg_PBR_max,$G174&lt;&gt;"",$G174&gt;0,$J174&lt;&gt;"",$J174&gt;=cfg_Liq_min),1,0))</f>
        <v/>
      </c>
      <c r="L174">
        <f>IF($K174="","",IF($K174=1,"",(IF($C174="Growth","Market=Growth; ",""))&amp;(IF(OR($F174="",$F174&gt;=cfg_PBR_max),"PBR&gt;=max/missing; ",""))&amp;(IF(OR($G174="",$G174&lt;=0),"NetCash&lt;=0/missing; ",""))&amp;(IF(OR($J174="",$J174&lt;cfg_Liq_min),"Liquidity&lt;min/missing; ",""))))</f>
        <v/>
      </c>
      <c r="M174">
        <f>IF($A174="","",IF(OR($D174="",$E174="",Fundamentals!I174="",Fundamentals!K174="",$J174=""),1,0))</f>
        <v/>
      </c>
      <c r="N174">
        <f>Fundamentals!U174</f>
        <v/>
      </c>
    </row>
    <row r="175">
      <c r="A175">
        <f>Fundamentals!A175</f>
        <v/>
      </c>
      <c r="B175">
        <f>Fundamentals!B175</f>
        <v/>
      </c>
      <c r="C175">
        <f>Fundamentals!C175</f>
        <v/>
      </c>
      <c r="D175" s="15">
        <f>Fundamentals!G175</f>
        <v/>
      </c>
      <c r="E175" s="15">
        <f>Fundamentals!H175</f>
        <v/>
      </c>
      <c r="F175" s="16">
        <f>IF(OR($D175="",$E175="",$E175=0),"",$D175/$E175)</f>
        <v/>
      </c>
      <c r="G175" s="15">
        <f>IF(OR(Fundamentals!I175="",Fundamentals!J175="",Fundamentals!K175=""),"",Fundamentals!I175+Fundamentals!J175-Fundamentals!K175)</f>
        <v/>
      </c>
      <c r="H175" s="17">
        <f>IF(OR($G175="",$D175="",$D175=0),"",$G175/$D175)</f>
        <v/>
      </c>
      <c r="I175" s="17">
        <f>IF(OR(Fundamentals!L175="",$E175="",$E175=0),"",Fundamentals!L175/$E175)</f>
        <v/>
      </c>
      <c r="J175" s="15">
        <f>Fundamentals!O175</f>
        <v/>
      </c>
      <c r="K175">
        <f>IF(OR($A175=""),"",IF(AND($C175&lt;&gt;"Growth",$F175&lt;&gt;"",$F175&lt;cfg_PBR_max,$G175&lt;&gt;"",$G175&gt;0,$J175&lt;&gt;"",$J175&gt;=cfg_Liq_min),1,0))</f>
        <v/>
      </c>
      <c r="L175">
        <f>IF($K175="","",IF($K175=1,"",(IF($C175="Growth","Market=Growth; ",""))&amp;(IF(OR($F175="",$F175&gt;=cfg_PBR_max),"PBR&gt;=max/missing; ",""))&amp;(IF(OR($G175="",$G175&lt;=0),"NetCash&lt;=0/missing; ",""))&amp;(IF(OR($J175="",$J175&lt;cfg_Liq_min),"Liquidity&lt;min/missing; ",""))))</f>
        <v/>
      </c>
      <c r="M175">
        <f>IF($A175="","",IF(OR($D175="",$E175="",Fundamentals!I175="",Fundamentals!K175="",$J175=""),1,0))</f>
        <v/>
      </c>
      <c r="N175">
        <f>Fundamentals!U175</f>
        <v/>
      </c>
    </row>
    <row r="176">
      <c r="A176">
        <f>Fundamentals!A176</f>
        <v/>
      </c>
      <c r="B176">
        <f>Fundamentals!B176</f>
        <v/>
      </c>
      <c r="C176">
        <f>Fundamentals!C176</f>
        <v/>
      </c>
      <c r="D176" s="15">
        <f>Fundamentals!G176</f>
        <v/>
      </c>
      <c r="E176" s="15">
        <f>Fundamentals!H176</f>
        <v/>
      </c>
      <c r="F176" s="16">
        <f>IF(OR($D176="",$E176="",$E176=0),"",$D176/$E176)</f>
        <v/>
      </c>
      <c r="G176" s="15">
        <f>IF(OR(Fundamentals!I176="",Fundamentals!J176="",Fundamentals!K176=""),"",Fundamentals!I176+Fundamentals!J176-Fundamentals!K176)</f>
        <v/>
      </c>
      <c r="H176" s="17">
        <f>IF(OR($G176="",$D176="",$D176=0),"",$G176/$D176)</f>
        <v/>
      </c>
      <c r="I176" s="17">
        <f>IF(OR(Fundamentals!L176="",$E176="",$E176=0),"",Fundamentals!L176/$E176)</f>
        <v/>
      </c>
      <c r="J176" s="15">
        <f>Fundamentals!O176</f>
        <v/>
      </c>
      <c r="K176">
        <f>IF(OR($A176=""),"",IF(AND($C176&lt;&gt;"Growth",$F176&lt;&gt;"",$F176&lt;cfg_PBR_max,$G176&lt;&gt;"",$G176&gt;0,$J176&lt;&gt;"",$J176&gt;=cfg_Liq_min),1,0))</f>
        <v/>
      </c>
      <c r="L176">
        <f>IF($K176="","",IF($K176=1,"",(IF($C176="Growth","Market=Growth; ",""))&amp;(IF(OR($F176="",$F176&gt;=cfg_PBR_max),"PBR&gt;=max/missing; ",""))&amp;(IF(OR($G176="",$G176&lt;=0),"NetCash&lt;=0/missing; ",""))&amp;(IF(OR($J176="",$J176&lt;cfg_Liq_min),"Liquidity&lt;min/missing; ",""))))</f>
        <v/>
      </c>
      <c r="M176">
        <f>IF($A176="","",IF(OR($D176="",$E176="",Fundamentals!I176="",Fundamentals!K176="",$J176=""),1,0))</f>
        <v/>
      </c>
      <c r="N176">
        <f>Fundamentals!U176</f>
        <v/>
      </c>
    </row>
    <row r="177">
      <c r="A177">
        <f>Fundamentals!A177</f>
        <v/>
      </c>
      <c r="B177">
        <f>Fundamentals!B177</f>
        <v/>
      </c>
      <c r="C177">
        <f>Fundamentals!C177</f>
        <v/>
      </c>
      <c r="D177" s="15">
        <f>Fundamentals!G177</f>
        <v/>
      </c>
      <c r="E177" s="15">
        <f>Fundamentals!H177</f>
        <v/>
      </c>
      <c r="F177" s="16">
        <f>IF(OR($D177="",$E177="",$E177=0),"",$D177/$E177)</f>
        <v/>
      </c>
      <c r="G177" s="15">
        <f>IF(OR(Fundamentals!I177="",Fundamentals!J177="",Fundamentals!K177=""),"",Fundamentals!I177+Fundamentals!J177-Fundamentals!K177)</f>
        <v/>
      </c>
      <c r="H177" s="17">
        <f>IF(OR($G177="",$D177="",$D177=0),"",$G177/$D177)</f>
        <v/>
      </c>
      <c r="I177" s="17">
        <f>IF(OR(Fundamentals!L177="",$E177="",$E177=0),"",Fundamentals!L177/$E177)</f>
        <v/>
      </c>
      <c r="J177" s="15">
        <f>Fundamentals!O177</f>
        <v/>
      </c>
      <c r="K177">
        <f>IF(OR($A177=""),"",IF(AND($C177&lt;&gt;"Growth",$F177&lt;&gt;"",$F177&lt;cfg_PBR_max,$G177&lt;&gt;"",$G177&gt;0,$J177&lt;&gt;"",$J177&gt;=cfg_Liq_min),1,0))</f>
        <v/>
      </c>
      <c r="L177">
        <f>IF($K177="","",IF($K177=1,"",(IF($C177="Growth","Market=Growth; ",""))&amp;(IF(OR($F177="",$F177&gt;=cfg_PBR_max),"PBR&gt;=max/missing; ",""))&amp;(IF(OR($G177="",$G177&lt;=0),"NetCash&lt;=0/missing; ",""))&amp;(IF(OR($J177="",$J177&lt;cfg_Liq_min),"Liquidity&lt;min/missing; ",""))))</f>
        <v/>
      </c>
      <c r="M177">
        <f>IF($A177="","",IF(OR($D177="",$E177="",Fundamentals!I177="",Fundamentals!K177="",$J177=""),1,0))</f>
        <v/>
      </c>
      <c r="N177">
        <f>Fundamentals!U177</f>
        <v/>
      </c>
    </row>
    <row r="178">
      <c r="A178">
        <f>Fundamentals!A178</f>
        <v/>
      </c>
      <c r="B178">
        <f>Fundamentals!B178</f>
        <v/>
      </c>
      <c r="C178">
        <f>Fundamentals!C178</f>
        <v/>
      </c>
      <c r="D178" s="15">
        <f>Fundamentals!G178</f>
        <v/>
      </c>
      <c r="E178" s="15">
        <f>Fundamentals!H178</f>
        <v/>
      </c>
      <c r="F178" s="16">
        <f>IF(OR($D178="",$E178="",$E178=0),"",$D178/$E178)</f>
        <v/>
      </c>
      <c r="G178" s="15">
        <f>IF(OR(Fundamentals!I178="",Fundamentals!J178="",Fundamentals!K178=""),"",Fundamentals!I178+Fundamentals!J178-Fundamentals!K178)</f>
        <v/>
      </c>
      <c r="H178" s="17">
        <f>IF(OR($G178="",$D178="",$D178=0),"",$G178/$D178)</f>
        <v/>
      </c>
      <c r="I178" s="17">
        <f>IF(OR(Fundamentals!L178="",$E178="",$E178=0),"",Fundamentals!L178/$E178)</f>
        <v/>
      </c>
      <c r="J178" s="15">
        <f>Fundamentals!O178</f>
        <v/>
      </c>
      <c r="K178">
        <f>IF(OR($A178=""),"",IF(AND($C178&lt;&gt;"Growth",$F178&lt;&gt;"",$F178&lt;cfg_PBR_max,$G178&lt;&gt;"",$G178&gt;0,$J178&lt;&gt;"",$J178&gt;=cfg_Liq_min),1,0))</f>
        <v/>
      </c>
      <c r="L178">
        <f>IF($K178="","",IF($K178=1,"",(IF($C178="Growth","Market=Growth; ",""))&amp;(IF(OR($F178="",$F178&gt;=cfg_PBR_max),"PBR&gt;=max/missing; ",""))&amp;(IF(OR($G178="",$G178&lt;=0),"NetCash&lt;=0/missing; ",""))&amp;(IF(OR($J178="",$J178&lt;cfg_Liq_min),"Liquidity&lt;min/missing; ",""))))</f>
        <v/>
      </c>
      <c r="M178">
        <f>IF($A178="","",IF(OR($D178="",$E178="",Fundamentals!I178="",Fundamentals!K178="",$J178=""),1,0))</f>
        <v/>
      </c>
      <c r="N178">
        <f>Fundamentals!U178</f>
        <v/>
      </c>
    </row>
    <row r="179">
      <c r="A179">
        <f>Fundamentals!A179</f>
        <v/>
      </c>
      <c r="B179">
        <f>Fundamentals!B179</f>
        <v/>
      </c>
      <c r="C179">
        <f>Fundamentals!C179</f>
        <v/>
      </c>
      <c r="D179" s="15">
        <f>Fundamentals!G179</f>
        <v/>
      </c>
      <c r="E179" s="15">
        <f>Fundamentals!H179</f>
        <v/>
      </c>
      <c r="F179" s="16">
        <f>IF(OR($D179="",$E179="",$E179=0),"",$D179/$E179)</f>
        <v/>
      </c>
      <c r="G179" s="15">
        <f>IF(OR(Fundamentals!I179="",Fundamentals!J179="",Fundamentals!K179=""),"",Fundamentals!I179+Fundamentals!J179-Fundamentals!K179)</f>
        <v/>
      </c>
      <c r="H179" s="17">
        <f>IF(OR($G179="",$D179="",$D179=0),"",$G179/$D179)</f>
        <v/>
      </c>
      <c r="I179" s="17">
        <f>IF(OR(Fundamentals!L179="",$E179="",$E179=0),"",Fundamentals!L179/$E179)</f>
        <v/>
      </c>
      <c r="J179" s="15">
        <f>Fundamentals!O179</f>
        <v/>
      </c>
      <c r="K179">
        <f>IF(OR($A179=""),"",IF(AND($C179&lt;&gt;"Growth",$F179&lt;&gt;"",$F179&lt;cfg_PBR_max,$G179&lt;&gt;"",$G179&gt;0,$J179&lt;&gt;"",$J179&gt;=cfg_Liq_min),1,0))</f>
        <v/>
      </c>
      <c r="L179">
        <f>IF($K179="","",IF($K179=1,"",(IF($C179="Growth","Market=Growth; ",""))&amp;(IF(OR($F179="",$F179&gt;=cfg_PBR_max),"PBR&gt;=max/missing; ",""))&amp;(IF(OR($G179="",$G179&lt;=0),"NetCash&lt;=0/missing; ",""))&amp;(IF(OR($J179="",$J179&lt;cfg_Liq_min),"Liquidity&lt;min/missing; ",""))))</f>
        <v/>
      </c>
      <c r="M179">
        <f>IF($A179="","",IF(OR($D179="",$E179="",Fundamentals!I179="",Fundamentals!K179="",$J179=""),1,0))</f>
        <v/>
      </c>
      <c r="N179">
        <f>Fundamentals!U179</f>
        <v/>
      </c>
    </row>
    <row r="180">
      <c r="A180">
        <f>Fundamentals!A180</f>
        <v/>
      </c>
      <c r="B180">
        <f>Fundamentals!B180</f>
        <v/>
      </c>
      <c r="C180">
        <f>Fundamentals!C180</f>
        <v/>
      </c>
      <c r="D180" s="15">
        <f>Fundamentals!G180</f>
        <v/>
      </c>
      <c r="E180" s="15">
        <f>Fundamentals!H180</f>
        <v/>
      </c>
      <c r="F180" s="16">
        <f>IF(OR($D180="",$E180="",$E180=0),"",$D180/$E180)</f>
        <v/>
      </c>
      <c r="G180" s="15">
        <f>IF(OR(Fundamentals!I180="",Fundamentals!J180="",Fundamentals!K180=""),"",Fundamentals!I180+Fundamentals!J180-Fundamentals!K180)</f>
        <v/>
      </c>
      <c r="H180" s="17">
        <f>IF(OR($G180="",$D180="",$D180=0),"",$G180/$D180)</f>
        <v/>
      </c>
      <c r="I180" s="17">
        <f>IF(OR(Fundamentals!L180="",$E180="",$E180=0),"",Fundamentals!L180/$E180)</f>
        <v/>
      </c>
      <c r="J180" s="15">
        <f>Fundamentals!O180</f>
        <v/>
      </c>
      <c r="K180">
        <f>IF(OR($A180=""),"",IF(AND($C180&lt;&gt;"Growth",$F180&lt;&gt;"",$F180&lt;cfg_PBR_max,$G180&lt;&gt;"",$G180&gt;0,$J180&lt;&gt;"",$J180&gt;=cfg_Liq_min),1,0))</f>
        <v/>
      </c>
      <c r="L180">
        <f>IF($K180="","",IF($K180=1,"",(IF($C180="Growth","Market=Growth; ",""))&amp;(IF(OR($F180="",$F180&gt;=cfg_PBR_max),"PBR&gt;=max/missing; ",""))&amp;(IF(OR($G180="",$G180&lt;=0),"NetCash&lt;=0/missing; ",""))&amp;(IF(OR($J180="",$J180&lt;cfg_Liq_min),"Liquidity&lt;min/missing; ",""))))</f>
        <v/>
      </c>
      <c r="M180">
        <f>IF($A180="","",IF(OR($D180="",$E180="",Fundamentals!I180="",Fundamentals!K180="",$J180=""),1,0))</f>
        <v/>
      </c>
      <c r="N180">
        <f>Fundamentals!U180</f>
        <v/>
      </c>
    </row>
    <row r="181">
      <c r="A181">
        <f>Fundamentals!A181</f>
        <v/>
      </c>
      <c r="B181">
        <f>Fundamentals!B181</f>
        <v/>
      </c>
      <c r="C181">
        <f>Fundamentals!C181</f>
        <v/>
      </c>
      <c r="D181" s="15">
        <f>Fundamentals!G181</f>
        <v/>
      </c>
      <c r="E181" s="15">
        <f>Fundamentals!H181</f>
        <v/>
      </c>
      <c r="F181" s="16">
        <f>IF(OR($D181="",$E181="",$E181=0),"",$D181/$E181)</f>
        <v/>
      </c>
      <c r="G181" s="15">
        <f>IF(OR(Fundamentals!I181="",Fundamentals!J181="",Fundamentals!K181=""),"",Fundamentals!I181+Fundamentals!J181-Fundamentals!K181)</f>
        <v/>
      </c>
      <c r="H181" s="17">
        <f>IF(OR($G181="",$D181="",$D181=0),"",$G181/$D181)</f>
        <v/>
      </c>
      <c r="I181" s="17">
        <f>IF(OR(Fundamentals!L181="",$E181="",$E181=0),"",Fundamentals!L181/$E181)</f>
        <v/>
      </c>
      <c r="J181" s="15">
        <f>Fundamentals!O181</f>
        <v/>
      </c>
      <c r="K181">
        <f>IF(OR($A181=""),"",IF(AND($C181&lt;&gt;"Growth",$F181&lt;&gt;"",$F181&lt;cfg_PBR_max,$G181&lt;&gt;"",$G181&gt;0,$J181&lt;&gt;"",$J181&gt;=cfg_Liq_min),1,0))</f>
        <v/>
      </c>
      <c r="L181">
        <f>IF($K181="","",IF($K181=1,"",(IF($C181="Growth","Market=Growth; ",""))&amp;(IF(OR($F181="",$F181&gt;=cfg_PBR_max),"PBR&gt;=max/missing; ",""))&amp;(IF(OR($G181="",$G181&lt;=0),"NetCash&lt;=0/missing; ",""))&amp;(IF(OR($J181="",$J181&lt;cfg_Liq_min),"Liquidity&lt;min/missing; ",""))))</f>
        <v/>
      </c>
      <c r="M181">
        <f>IF($A181="","",IF(OR($D181="",$E181="",Fundamentals!I181="",Fundamentals!K181="",$J181=""),1,0))</f>
        <v/>
      </c>
      <c r="N181">
        <f>Fundamentals!U181</f>
        <v/>
      </c>
    </row>
    <row r="182">
      <c r="A182">
        <f>Fundamentals!A182</f>
        <v/>
      </c>
      <c r="B182">
        <f>Fundamentals!B182</f>
        <v/>
      </c>
      <c r="C182">
        <f>Fundamentals!C182</f>
        <v/>
      </c>
      <c r="D182" s="15">
        <f>Fundamentals!G182</f>
        <v/>
      </c>
      <c r="E182" s="15">
        <f>Fundamentals!H182</f>
        <v/>
      </c>
      <c r="F182" s="16">
        <f>IF(OR($D182="",$E182="",$E182=0),"",$D182/$E182)</f>
        <v/>
      </c>
      <c r="G182" s="15">
        <f>IF(OR(Fundamentals!I182="",Fundamentals!J182="",Fundamentals!K182=""),"",Fundamentals!I182+Fundamentals!J182-Fundamentals!K182)</f>
        <v/>
      </c>
      <c r="H182" s="17">
        <f>IF(OR($G182="",$D182="",$D182=0),"",$G182/$D182)</f>
        <v/>
      </c>
      <c r="I182" s="17">
        <f>IF(OR(Fundamentals!L182="",$E182="",$E182=0),"",Fundamentals!L182/$E182)</f>
        <v/>
      </c>
      <c r="J182" s="15">
        <f>Fundamentals!O182</f>
        <v/>
      </c>
      <c r="K182">
        <f>IF(OR($A182=""),"",IF(AND($C182&lt;&gt;"Growth",$F182&lt;&gt;"",$F182&lt;cfg_PBR_max,$G182&lt;&gt;"",$G182&gt;0,$J182&lt;&gt;"",$J182&gt;=cfg_Liq_min),1,0))</f>
        <v/>
      </c>
      <c r="L182">
        <f>IF($K182="","",IF($K182=1,"",(IF($C182="Growth","Market=Growth; ",""))&amp;(IF(OR($F182="",$F182&gt;=cfg_PBR_max),"PBR&gt;=max/missing; ",""))&amp;(IF(OR($G182="",$G182&lt;=0),"NetCash&lt;=0/missing; ",""))&amp;(IF(OR($J182="",$J182&lt;cfg_Liq_min),"Liquidity&lt;min/missing; ",""))))</f>
        <v/>
      </c>
      <c r="M182">
        <f>IF($A182="","",IF(OR($D182="",$E182="",Fundamentals!I182="",Fundamentals!K182="",$J182=""),1,0))</f>
        <v/>
      </c>
      <c r="N182">
        <f>Fundamentals!U182</f>
        <v/>
      </c>
    </row>
    <row r="183">
      <c r="A183">
        <f>Fundamentals!A183</f>
        <v/>
      </c>
      <c r="B183">
        <f>Fundamentals!B183</f>
        <v/>
      </c>
      <c r="C183">
        <f>Fundamentals!C183</f>
        <v/>
      </c>
      <c r="D183" s="15">
        <f>Fundamentals!G183</f>
        <v/>
      </c>
      <c r="E183" s="15">
        <f>Fundamentals!H183</f>
        <v/>
      </c>
      <c r="F183" s="16">
        <f>IF(OR($D183="",$E183="",$E183=0),"",$D183/$E183)</f>
        <v/>
      </c>
      <c r="G183" s="15">
        <f>IF(OR(Fundamentals!I183="",Fundamentals!J183="",Fundamentals!K183=""),"",Fundamentals!I183+Fundamentals!J183-Fundamentals!K183)</f>
        <v/>
      </c>
      <c r="H183" s="17">
        <f>IF(OR($G183="",$D183="",$D183=0),"",$G183/$D183)</f>
        <v/>
      </c>
      <c r="I183" s="17">
        <f>IF(OR(Fundamentals!L183="",$E183="",$E183=0),"",Fundamentals!L183/$E183)</f>
        <v/>
      </c>
      <c r="J183" s="15">
        <f>Fundamentals!O183</f>
        <v/>
      </c>
      <c r="K183">
        <f>IF(OR($A183=""),"",IF(AND($C183&lt;&gt;"Growth",$F183&lt;&gt;"",$F183&lt;cfg_PBR_max,$G183&lt;&gt;"",$G183&gt;0,$J183&lt;&gt;"",$J183&gt;=cfg_Liq_min),1,0))</f>
        <v/>
      </c>
      <c r="L183">
        <f>IF($K183="","",IF($K183=1,"",(IF($C183="Growth","Market=Growth; ",""))&amp;(IF(OR($F183="",$F183&gt;=cfg_PBR_max),"PBR&gt;=max/missing; ",""))&amp;(IF(OR($G183="",$G183&lt;=0),"NetCash&lt;=0/missing; ",""))&amp;(IF(OR($J183="",$J183&lt;cfg_Liq_min),"Liquidity&lt;min/missing; ",""))))</f>
        <v/>
      </c>
      <c r="M183">
        <f>IF($A183="","",IF(OR($D183="",$E183="",Fundamentals!I183="",Fundamentals!K183="",$J183=""),1,0))</f>
        <v/>
      </c>
      <c r="N183">
        <f>Fundamentals!U183</f>
        <v/>
      </c>
    </row>
    <row r="184">
      <c r="A184">
        <f>Fundamentals!A184</f>
        <v/>
      </c>
      <c r="B184">
        <f>Fundamentals!B184</f>
        <v/>
      </c>
      <c r="C184">
        <f>Fundamentals!C184</f>
        <v/>
      </c>
      <c r="D184" s="15">
        <f>Fundamentals!G184</f>
        <v/>
      </c>
      <c r="E184" s="15">
        <f>Fundamentals!H184</f>
        <v/>
      </c>
      <c r="F184" s="16">
        <f>IF(OR($D184="",$E184="",$E184=0),"",$D184/$E184)</f>
        <v/>
      </c>
      <c r="G184" s="15">
        <f>IF(OR(Fundamentals!I184="",Fundamentals!J184="",Fundamentals!K184=""),"",Fundamentals!I184+Fundamentals!J184-Fundamentals!K184)</f>
        <v/>
      </c>
      <c r="H184" s="17">
        <f>IF(OR($G184="",$D184="",$D184=0),"",$G184/$D184)</f>
        <v/>
      </c>
      <c r="I184" s="17">
        <f>IF(OR(Fundamentals!L184="",$E184="",$E184=0),"",Fundamentals!L184/$E184)</f>
        <v/>
      </c>
      <c r="J184" s="15">
        <f>Fundamentals!O184</f>
        <v/>
      </c>
      <c r="K184">
        <f>IF(OR($A184=""),"",IF(AND($C184&lt;&gt;"Growth",$F184&lt;&gt;"",$F184&lt;cfg_PBR_max,$G184&lt;&gt;"",$G184&gt;0,$J184&lt;&gt;"",$J184&gt;=cfg_Liq_min),1,0))</f>
        <v/>
      </c>
      <c r="L184">
        <f>IF($K184="","",IF($K184=1,"",(IF($C184="Growth","Market=Growth; ",""))&amp;(IF(OR($F184="",$F184&gt;=cfg_PBR_max),"PBR&gt;=max/missing; ",""))&amp;(IF(OR($G184="",$G184&lt;=0),"NetCash&lt;=0/missing; ",""))&amp;(IF(OR($J184="",$J184&lt;cfg_Liq_min),"Liquidity&lt;min/missing; ",""))))</f>
        <v/>
      </c>
      <c r="M184">
        <f>IF($A184="","",IF(OR($D184="",$E184="",Fundamentals!I184="",Fundamentals!K184="",$J184=""),1,0))</f>
        <v/>
      </c>
      <c r="N184">
        <f>Fundamentals!U184</f>
        <v/>
      </c>
    </row>
    <row r="185">
      <c r="A185">
        <f>Fundamentals!A185</f>
        <v/>
      </c>
      <c r="B185">
        <f>Fundamentals!B185</f>
        <v/>
      </c>
      <c r="C185">
        <f>Fundamentals!C185</f>
        <v/>
      </c>
      <c r="D185" s="15">
        <f>Fundamentals!G185</f>
        <v/>
      </c>
      <c r="E185" s="15">
        <f>Fundamentals!H185</f>
        <v/>
      </c>
      <c r="F185" s="16">
        <f>IF(OR($D185="",$E185="",$E185=0),"",$D185/$E185)</f>
        <v/>
      </c>
      <c r="G185" s="15">
        <f>IF(OR(Fundamentals!I185="",Fundamentals!J185="",Fundamentals!K185=""),"",Fundamentals!I185+Fundamentals!J185-Fundamentals!K185)</f>
        <v/>
      </c>
      <c r="H185" s="17">
        <f>IF(OR($G185="",$D185="",$D185=0),"",$G185/$D185)</f>
        <v/>
      </c>
      <c r="I185" s="17">
        <f>IF(OR(Fundamentals!L185="",$E185="",$E185=0),"",Fundamentals!L185/$E185)</f>
        <v/>
      </c>
      <c r="J185" s="15">
        <f>Fundamentals!O185</f>
        <v/>
      </c>
      <c r="K185">
        <f>IF(OR($A185=""),"",IF(AND($C185&lt;&gt;"Growth",$F185&lt;&gt;"",$F185&lt;cfg_PBR_max,$G185&lt;&gt;"",$G185&gt;0,$J185&lt;&gt;"",$J185&gt;=cfg_Liq_min),1,0))</f>
        <v/>
      </c>
      <c r="L185">
        <f>IF($K185="","",IF($K185=1,"",(IF($C185="Growth","Market=Growth; ",""))&amp;(IF(OR($F185="",$F185&gt;=cfg_PBR_max),"PBR&gt;=max/missing; ",""))&amp;(IF(OR($G185="",$G185&lt;=0),"NetCash&lt;=0/missing; ",""))&amp;(IF(OR($J185="",$J185&lt;cfg_Liq_min),"Liquidity&lt;min/missing; ",""))))</f>
        <v/>
      </c>
      <c r="M185">
        <f>IF($A185="","",IF(OR($D185="",$E185="",Fundamentals!I185="",Fundamentals!K185="",$J185=""),1,0))</f>
        <v/>
      </c>
      <c r="N185">
        <f>Fundamentals!U185</f>
        <v/>
      </c>
    </row>
    <row r="186">
      <c r="A186">
        <f>Fundamentals!A186</f>
        <v/>
      </c>
      <c r="B186">
        <f>Fundamentals!B186</f>
        <v/>
      </c>
      <c r="C186">
        <f>Fundamentals!C186</f>
        <v/>
      </c>
      <c r="D186" s="15">
        <f>Fundamentals!G186</f>
        <v/>
      </c>
      <c r="E186" s="15">
        <f>Fundamentals!H186</f>
        <v/>
      </c>
      <c r="F186" s="16">
        <f>IF(OR($D186="",$E186="",$E186=0),"",$D186/$E186)</f>
        <v/>
      </c>
      <c r="G186" s="15">
        <f>IF(OR(Fundamentals!I186="",Fundamentals!J186="",Fundamentals!K186=""),"",Fundamentals!I186+Fundamentals!J186-Fundamentals!K186)</f>
        <v/>
      </c>
      <c r="H186" s="17">
        <f>IF(OR($G186="",$D186="",$D186=0),"",$G186/$D186)</f>
        <v/>
      </c>
      <c r="I186" s="17">
        <f>IF(OR(Fundamentals!L186="",$E186="",$E186=0),"",Fundamentals!L186/$E186)</f>
        <v/>
      </c>
      <c r="J186" s="15">
        <f>Fundamentals!O186</f>
        <v/>
      </c>
      <c r="K186">
        <f>IF(OR($A186=""),"",IF(AND($C186&lt;&gt;"Growth",$F186&lt;&gt;"",$F186&lt;cfg_PBR_max,$G186&lt;&gt;"",$G186&gt;0,$J186&lt;&gt;"",$J186&gt;=cfg_Liq_min),1,0))</f>
        <v/>
      </c>
      <c r="L186">
        <f>IF($K186="","",IF($K186=1,"",(IF($C186="Growth","Market=Growth; ",""))&amp;(IF(OR($F186="",$F186&gt;=cfg_PBR_max),"PBR&gt;=max/missing; ",""))&amp;(IF(OR($G186="",$G186&lt;=0),"NetCash&lt;=0/missing; ",""))&amp;(IF(OR($J186="",$J186&lt;cfg_Liq_min),"Liquidity&lt;min/missing; ",""))))</f>
        <v/>
      </c>
      <c r="M186">
        <f>IF($A186="","",IF(OR($D186="",$E186="",Fundamentals!I186="",Fundamentals!K186="",$J186=""),1,0))</f>
        <v/>
      </c>
      <c r="N186">
        <f>Fundamentals!U186</f>
        <v/>
      </c>
    </row>
    <row r="187">
      <c r="A187">
        <f>Fundamentals!A187</f>
        <v/>
      </c>
      <c r="B187">
        <f>Fundamentals!B187</f>
        <v/>
      </c>
      <c r="C187">
        <f>Fundamentals!C187</f>
        <v/>
      </c>
      <c r="D187" s="15">
        <f>Fundamentals!G187</f>
        <v/>
      </c>
      <c r="E187" s="15">
        <f>Fundamentals!H187</f>
        <v/>
      </c>
      <c r="F187" s="16">
        <f>IF(OR($D187="",$E187="",$E187=0),"",$D187/$E187)</f>
        <v/>
      </c>
      <c r="G187" s="15">
        <f>IF(OR(Fundamentals!I187="",Fundamentals!J187="",Fundamentals!K187=""),"",Fundamentals!I187+Fundamentals!J187-Fundamentals!K187)</f>
        <v/>
      </c>
      <c r="H187" s="17">
        <f>IF(OR($G187="",$D187="",$D187=0),"",$G187/$D187)</f>
        <v/>
      </c>
      <c r="I187" s="17">
        <f>IF(OR(Fundamentals!L187="",$E187="",$E187=0),"",Fundamentals!L187/$E187)</f>
        <v/>
      </c>
      <c r="J187" s="15">
        <f>Fundamentals!O187</f>
        <v/>
      </c>
      <c r="K187">
        <f>IF(OR($A187=""),"",IF(AND($C187&lt;&gt;"Growth",$F187&lt;&gt;"",$F187&lt;cfg_PBR_max,$G187&lt;&gt;"",$G187&gt;0,$J187&lt;&gt;"",$J187&gt;=cfg_Liq_min),1,0))</f>
        <v/>
      </c>
      <c r="L187">
        <f>IF($K187="","",IF($K187=1,"",(IF($C187="Growth","Market=Growth; ",""))&amp;(IF(OR($F187="",$F187&gt;=cfg_PBR_max),"PBR&gt;=max/missing; ",""))&amp;(IF(OR($G187="",$G187&lt;=0),"NetCash&lt;=0/missing; ",""))&amp;(IF(OR($J187="",$J187&lt;cfg_Liq_min),"Liquidity&lt;min/missing; ",""))))</f>
        <v/>
      </c>
      <c r="M187">
        <f>IF($A187="","",IF(OR($D187="",$E187="",Fundamentals!I187="",Fundamentals!K187="",$J187=""),1,0))</f>
        <v/>
      </c>
      <c r="N187">
        <f>Fundamentals!U187</f>
        <v/>
      </c>
    </row>
    <row r="188">
      <c r="A188">
        <f>Fundamentals!A188</f>
        <v/>
      </c>
      <c r="B188">
        <f>Fundamentals!B188</f>
        <v/>
      </c>
      <c r="C188">
        <f>Fundamentals!C188</f>
        <v/>
      </c>
      <c r="D188" s="15">
        <f>Fundamentals!G188</f>
        <v/>
      </c>
      <c r="E188" s="15">
        <f>Fundamentals!H188</f>
        <v/>
      </c>
      <c r="F188" s="16">
        <f>IF(OR($D188="",$E188="",$E188=0),"",$D188/$E188)</f>
        <v/>
      </c>
      <c r="G188" s="15">
        <f>IF(OR(Fundamentals!I188="",Fundamentals!J188="",Fundamentals!K188=""),"",Fundamentals!I188+Fundamentals!J188-Fundamentals!K188)</f>
        <v/>
      </c>
      <c r="H188" s="17">
        <f>IF(OR($G188="",$D188="",$D188=0),"",$G188/$D188)</f>
        <v/>
      </c>
      <c r="I188" s="17">
        <f>IF(OR(Fundamentals!L188="",$E188="",$E188=0),"",Fundamentals!L188/$E188)</f>
        <v/>
      </c>
      <c r="J188" s="15">
        <f>Fundamentals!O188</f>
        <v/>
      </c>
      <c r="K188">
        <f>IF(OR($A188=""),"",IF(AND($C188&lt;&gt;"Growth",$F188&lt;&gt;"",$F188&lt;cfg_PBR_max,$G188&lt;&gt;"",$G188&gt;0,$J188&lt;&gt;"",$J188&gt;=cfg_Liq_min),1,0))</f>
        <v/>
      </c>
      <c r="L188">
        <f>IF($K188="","",IF($K188=1,"",(IF($C188="Growth","Market=Growth; ",""))&amp;(IF(OR($F188="",$F188&gt;=cfg_PBR_max),"PBR&gt;=max/missing; ",""))&amp;(IF(OR($G188="",$G188&lt;=0),"NetCash&lt;=0/missing; ",""))&amp;(IF(OR($J188="",$J188&lt;cfg_Liq_min),"Liquidity&lt;min/missing; ",""))))</f>
        <v/>
      </c>
      <c r="M188">
        <f>IF($A188="","",IF(OR($D188="",$E188="",Fundamentals!I188="",Fundamentals!K188="",$J188=""),1,0))</f>
        <v/>
      </c>
      <c r="N188">
        <f>Fundamentals!U188</f>
        <v/>
      </c>
    </row>
    <row r="189">
      <c r="A189">
        <f>Fundamentals!A189</f>
        <v/>
      </c>
      <c r="B189">
        <f>Fundamentals!B189</f>
        <v/>
      </c>
      <c r="C189">
        <f>Fundamentals!C189</f>
        <v/>
      </c>
      <c r="D189" s="15">
        <f>Fundamentals!G189</f>
        <v/>
      </c>
      <c r="E189" s="15">
        <f>Fundamentals!H189</f>
        <v/>
      </c>
      <c r="F189" s="16">
        <f>IF(OR($D189="",$E189="",$E189=0),"",$D189/$E189)</f>
        <v/>
      </c>
      <c r="G189" s="15">
        <f>IF(OR(Fundamentals!I189="",Fundamentals!J189="",Fundamentals!K189=""),"",Fundamentals!I189+Fundamentals!J189-Fundamentals!K189)</f>
        <v/>
      </c>
      <c r="H189" s="17">
        <f>IF(OR($G189="",$D189="",$D189=0),"",$G189/$D189)</f>
        <v/>
      </c>
      <c r="I189" s="17">
        <f>IF(OR(Fundamentals!L189="",$E189="",$E189=0),"",Fundamentals!L189/$E189)</f>
        <v/>
      </c>
      <c r="J189" s="15">
        <f>Fundamentals!O189</f>
        <v/>
      </c>
      <c r="K189">
        <f>IF(OR($A189=""),"",IF(AND($C189&lt;&gt;"Growth",$F189&lt;&gt;"",$F189&lt;cfg_PBR_max,$G189&lt;&gt;"",$G189&gt;0,$J189&lt;&gt;"",$J189&gt;=cfg_Liq_min),1,0))</f>
        <v/>
      </c>
      <c r="L189">
        <f>IF($K189="","",IF($K189=1,"",(IF($C189="Growth","Market=Growth; ",""))&amp;(IF(OR($F189="",$F189&gt;=cfg_PBR_max),"PBR&gt;=max/missing; ",""))&amp;(IF(OR($G189="",$G189&lt;=0),"NetCash&lt;=0/missing; ",""))&amp;(IF(OR($J189="",$J189&lt;cfg_Liq_min),"Liquidity&lt;min/missing; ",""))))</f>
        <v/>
      </c>
      <c r="M189">
        <f>IF($A189="","",IF(OR($D189="",$E189="",Fundamentals!I189="",Fundamentals!K189="",$J189=""),1,0))</f>
        <v/>
      </c>
      <c r="N189">
        <f>Fundamentals!U189</f>
        <v/>
      </c>
    </row>
    <row r="190">
      <c r="A190">
        <f>Fundamentals!A190</f>
        <v/>
      </c>
      <c r="B190">
        <f>Fundamentals!B190</f>
        <v/>
      </c>
      <c r="C190">
        <f>Fundamentals!C190</f>
        <v/>
      </c>
      <c r="D190" s="15">
        <f>Fundamentals!G190</f>
        <v/>
      </c>
      <c r="E190" s="15">
        <f>Fundamentals!H190</f>
        <v/>
      </c>
      <c r="F190" s="16">
        <f>IF(OR($D190="",$E190="",$E190=0),"",$D190/$E190)</f>
        <v/>
      </c>
      <c r="G190" s="15">
        <f>IF(OR(Fundamentals!I190="",Fundamentals!J190="",Fundamentals!K190=""),"",Fundamentals!I190+Fundamentals!J190-Fundamentals!K190)</f>
        <v/>
      </c>
      <c r="H190" s="17">
        <f>IF(OR($G190="",$D190="",$D190=0),"",$G190/$D190)</f>
        <v/>
      </c>
      <c r="I190" s="17">
        <f>IF(OR(Fundamentals!L190="",$E190="",$E190=0),"",Fundamentals!L190/$E190)</f>
        <v/>
      </c>
      <c r="J190" s="15">
        <f>Fundamentals!O190</f>
        <v/>
      </c>
      <c r="K190">
        <f>IF(OR($A190=""),"",IF(AND($C190&lt;&gt;"Growth",$F190&lt;&gt;"",$F190&lt;cfg_PBR_max,$G190&lt;&gt;"",$G190&gt;0,$J190&lt;&gt;"",$J190&gt;=cfg_Liq_min),1,0))</f>
        <v/>
      </c>
      <c r="L190">
        <f>IF($K190="","",IF($K190=1,"",(IF($C190="Growth","Market=Growth; ",""))&amp;(IF(OR($F190="",$F190&gt;=cfg_PBR_max),"PBR&gt;=max/missing; ",""))&amp;(IF(OR($G190="",$G190&lt;=0),"NetCash&lt;=0/missing; ",""))&amp;(IF(OR($J190="",$J190&lt;cfg_Liq_min),"Liquidity&lt;min/missing; ",""))))</f>
        <v/>
      </c>
      <c r="M190">
        <f>IF($A190="","",IF(OR($D190="",$E190="",Fundamentals!I190="",Fundamentals!K190="",$J190=""),1,0))</f>
        <v/>
      </c>
      <c r="N190">
        <f>Fundamentals!U190</f>
        <v/>
      </c>
    </row>
    <row r="191">
      <c r="A191">
        <f>Fundamentals!A191</f>
        <v/>
      </c>
      <c r="B191">
        <f>Fundamentals!B191</f>
        <v/>
      </c>
      <c r="C191">
        <f>Fundamentals!C191</f>
        <v/>
      </c>
      <c r="D191" s="15">
        <f>Fundamentals!G191</f>
        <v/>
      </c>
      <c r="E191" s="15">
        <f>Fundamentals!H191</f>
        <v/>
      </c>
      <c r="F191" s="16">
        <f>IF(OR($D191="",$E191="",$E191=0),"",$D191/$E191)</f>
        <v/>
      </c>
      <c r="G191" s="15">
        <f>IF(OR(Fundamentals!I191="",Fundamentals!J191="",Fundamentals!K191=""),"",Fundamentals!I191+Fundamentals!J191-Fundamentals!K191)</f>
        <v/>
      </c>
      <c r="H191" s="17">
        <f>IF(OR($G191="",$D191="",$D191=0),"",$G191/$D191)</f>
        <v/>
      </c>
      <c r="I191" s="17">
        <f>IF(OR(Fundamentals!L191="",$E191="",$E191=0),"",Fundamentals!L191/$E191)</f>
        <v/>
      </c>
      <c r="J191" s="15">
        <f>Fundamentals!O191</f>
        <v/>
      </c>
      <c r="K191">
        <f>IF(OR($A191=""),"",IF(AND($C191&lt;&gt;"Growth",$F191&lt;&gt;"",$F191&lt;cfg_PBR_max,$G191&lt;&gt;"",$G191&gt;0,$J191&lt;&gt;"",$J191&gt;=cfg_Liq_min),1,0))</f>
        <v/>
      </c>
      <c r="L191">
        <f>IF($K191="","",IF($K191=1,"",(IF($C191="Growth","Market=Growth; ",""))&amp;(IF(OR($F191="",$F191&gt;=cfg_PBR_max),"PBR&gt;=max/missing; ",""))&amp;(IF(OR($G191="",$G191&lt;=0),"NetCash&lt;=0/missing; ",""))&amp;(IF(OR($J191="",$J191&lt;cfg_Liq_min),"Liquidity&lt;min/missing; ",""))))</f>
        <v/>
      </c>
      <c r="M191">
        <f>IF($A191="","",IF(OR($D191="",$E191="",Fundamentals!I191="",Fundamentals!K191="",$J191=""),1,0))</f>
        <v/>
      </c>
      <c r="N191">
        <f>Fundamentals!U191</f>
        <v/>
      </c>
    </row>
    <row r="192">
      <c r="A192">
        <f>Fundamentals!A192</f>
        <v/>
      </c>
      <c r="B192">
        <f>Fundamentals!B192</f>
        <v/>
      </c>
      <c r="C192">
        <f>Fundamentals!C192</f>
        <v/>
      </c>
      <c r="D192" s="15">
        <f>Fundamentals!G192</f>
        <v/>
      </c>
      <c r="E192" s="15">
        <f>Fundamentals!H192</f>
        <v/>
      </c>
      <c r="F192" s="16">
        <f>IF(OR($D192="",$E192="",$E192=0),"",$D192/$E192)</f>
        <v/>
      </c>
      <c r="G192" s="15">
        <f>IF(OR(Fundamentals!I192="",Fundamentals!J192="",Fundamentals!K192=""),"",Fundamentals!I192+Fundamentals!J192-Fundamentals!K192)</f>
        <v/>
      </c>
      <c r="H192" s="17">
        <f>IF(OR($G192="",$D192="",$D192=0),"",$G192/$D192)</f>
        <v/>
      </c>
      <c r="I192" s="17">
        <f>IF(OR(Fundamentals!L192="",$E192="",$E192=0),"",Fundamentals!L192/$E192)</f>
        <v/>
      </c>
      <c r="J192" s="15">
        <f>Fundamentals!O192</f>
        <v/>
      </c>
      <c r="K192">
        <f>IF(OR($A192=""),"",IF(AND($C192&lt;&gt;"Growth",$F192&lt;&gt;"",$F192&lt;cfg_PBR_max,$G192&lt;&gt;"",$G192&gt;0,$J192&lt;&gt;"",$J192&gt;=cfg_Liq_min),1,0))</f>
        <v/>
      </c>
      <c r="L192">
        <f>IF($K192="","",IF($K192=1,"",(IF($C192="Growth","Market=Growth; ",""))&amp;(IF(OR($F192="",$F192&gt;=cfg_PBR_max),"PBR&gt;=max/missing; ",""))&amp;(IF(OR($G192="",$G192&lt;=0),"NetCash&lt;=0/missing; ",""))&amp;(IF(OR($J192="",$J192&lt;cfg_Liq_min),"Liquidity&lt;min/missing; ",""))))</f>
        <v/>
      </c>
      <c r="M192">
        <f>IF($A192="","",IF(OR($D192="",$E192="",Fundamentals!I192="",Fundamentals!K192="",$J192=""),1,0))</f>
        <v/>
      </c>
      <c r="N192">
        <f>Fundamentals!U192</f>
        <v/>
      </c>
    </row>
    <row r="193">
      <c r="A193">
        <f>Fundamentals!A193</f>
        <v/>
      </c>
      <c r="B193">
        <f>Fundamentals!B193</f>
        <v/>
      </c>
      <c r="C193">
        <f>Fundamentals!C193</f>
        <v/>
      </c>
      <c r="D193" s="15">
        <f>Fundamentals!G193</f>
        <v/>
      </c>
      <c r="E193" s="15">
        <f>Fundamentals!H193</f>
        <v/>
      </c>
      <c r="F193" s="16">
        <f>IF(OR($D193="",$E193="",$E193=0),"",$D193/$E193)</f>
        <v/>
      </c>
      <c r="G193" s="15">
        <f>IF(OR(Fundamentals!I193="",Fundamentals!J193="",Fundamentals!K193=""),"",Fundamentals!I193+Fundamentals!J193-Fundamentals!K193)</f>
        <v/>
      </c>
      <c r="H193" s="17">
        <f>IF(OR($G193="",$D193="",$D193=0),"",$G193/$D193)</f>
        <v/>
      </c>
      <c r="I193" s="17">
        <f>IF(OR(Fundamentals!L193="",$E193="",$E193=0),"",Fundamentals!L193/$E193)</f>
        <v/>
      </c>
      <c r="J193" s="15">
        <f>Fundamentals!O193</f>
        <v/>
      </c>
      <c r="K193">
        <f>IF(OR($A193=""),"",IF(AND($C193&lt;&gt;"Growth",$F193&lt;&gt;"",$F193&lt;cfg_PBR_max,$G193&lt;&gt;"",$G193&gt;0,$J193&lt;&gt;"",$J193&gt;=cfg_Liq_min),1,0))</f>
        <v/>
      </c>
      <c r="L193">
        <f>IF($K193="","",IF($K193=1,"",(IF($C193="Growth","Market=Growth; ",""))&amp;(IF(OR($F193="",$F193&gt;=cfg_PBR_max),"PBR&gt;=max/missing; ",""))&amp;(IF(OR($G193="",$G193&lt;=0),"NetCash&lt;=0/missing; ",""))&amp;(IF(OR($J193="",$J193&lt;cfg_Liq_min),"Liquidity&lt;min/missing; ",""))))</f>
        <v/>
      </c>
      <c r="M193">
        <f>IF($A193="","",IF(OR($D193="",$E193="",Fundamentals!I193="",Fundamentals!K193="",$J193=""),1,0))</f>
        <v/>
      </c>
      <c r="N193">
        <f>Fundamentals!U193</f>
        <v/>
      </c>
    </row>
    <row r="194">
      <c r="A194">
        <f>Fundamentals!A194</f>
        <v/>
      </c>
      <c r="B194">
        <f>Fundamentals!B194</f>
        <v/>
      </c>
      <c r="C194">
        <f>Fundamentals!C194</f>
        <v/>
      </c>
      <c r="D194" s="15">
        <f>Fundamentals!G194</f>
        <v/>
      </c>
      <c r="E194" s="15">
        <f>Fundamentals!H194</f>
        <v/>
      </c>
      <c r="F194" s="16">
        <f>IF(OR($D194="",$E194="",$E194=0),"",$D194/$E194)</f>
        <v/>
      </c>
      <c r="G194" s="15">
        <f>IF(OR(Fundamentals!I194="",Fundamentals!J194="",Fundamentals!K194=""),"",Fundamentals!I194+Fundamentals!J194-Fundamentals!K194)</f>
        <v/>
      </c>
      <c r="H194" s="17">
        <f>IF(OR($G194="",$D194="",$D194=0),"",$G194/$D194)</f>
        <v/>
      </c>
      <c r="I194" s="17">
        <f>IF(OR(Fundamentals!L194="",$E194="",$E194=0),"",Fundamentals!L194/$E194)</f>
        <v/>
      </c>
      <c r="J194" s="15">
        <f>Fundamentals!O194</f>
        <v/>
      </c>
      <c r="K194">
        <f>IF(OR($A194=""),"",IF(AND($C194&lt;&gt;"Growth",$F194&lt;&gt;"",$F194&lt;cfg_PBR_max,$G194&lt;&gt;"",$G194&gt;0,$J194&lt;&gt;"",$J194&gt;=cfg_Liq_min),1,0))</f>
        <v/>
      </c>
      <c r="L194">
        <f>IF($K194="","",IF($K194=1,"",(IF($C194="Growth","Market=Growth; ",""))&amp;(IF(OR($F194="",$F194&gt;=cfg_PBR_max),"PBR&gt;=max/missing; ",""))&amp;(IF(OR($G194="",$G194&lt;=0),"NetCash&lt;=0/missing; ",""))&amp;(IF(OR($J194="",$J194&lt;cfg_Liq_min),"Liquidity&lt;min/missing; ",""))))</f>
        <v/>
      </c>
      <c r="M194">
        <f>IF($A194="","",IF(OR($D194="",$E194="",Fundamentals!I194="",Fundamentals!K194="",$J194=""),1,0))</f>
        <v/>
      </c>
      <c r="N194">
        <f>Fundamentals!U194</f>
        <v/>
      </c>
    </row>
    <row r="195">
      <c r="A195">
        <f>Fundamentals!A195</f>
        <v/>
      </c>
      <c r="B195">
        <f>Fundamentals!B195</f>
        <v/>
      </c>
      <c r="C195">
        <f>Fundamentals!C195</f>
        <v/>
      </c>
      <c r="D195" s="15">
        <f>Fundamentals!G195</f>
        <v/>
      </c>
      <c r="E195" s="15">
        <f>Fundamentals!H195</f>
        <v/>
      </c>
      <c r="F195" s="16">
        <f>IF(OR($D195="",$E195="",$E195=0),"",$D195/$E195)</f>
        <v/>
      </c>
      <c r="G195" s="15">
        <f>IF(OR(Fundamentals!I195="",Fundamentals!J195="",Fundamentals!K195=""),"",Fundamentals!I195+Fundamentals!J195-Fundamentals!K195)</f>
        <v/>
      </c>
      <c r="H195" s="17">
        <f>IF(OR($G195="",$D195="",$D195=0),"",$G195/$D195)</f>
        <v/>
      </c>
      <c r="I195" s="17">
        <f>IF(OR(Fundamentals!L195="",$E195="",$E195=0),"",Fundamentals!L195/$E195)</f>
        <v/>
      </c>
      <c r="J195" s="15">
        <f>Fundamentals!O195</f>
        <v/>
      </c>
      <c r="K195">
        <f>IF(OR($A195=""),"",IF(AND($C195&lt;&gt;"Growth",$F195&lt;&gt;"",$F195&lt;cfg_PBR_max,$G195&lt;&gt;"",$G195&gt;0,$J195&lt;&gt;"",$J195&gt;=cfg_Liq_min),1,0))</f>
        <v/>
      </c>
      <c r="L195">
        <f>IF($K195="","",IF($K195=1,"",(IF($C195="Growth","Market=Growth; ",""))&amp;(IF(OR($F195="",$F195&gt;=cfg_PBR_max),"PBR&gt;=max/missing; ",""))&amp;(IF(OR($G195="",$G195&lt;=0),"NetCash&lt;=0/missing; ",""))&amp;(IF(OR($J195="",$J195&lt;cfg_Liq_min),"Liquidity&lt;min/missing; ",""))))</f>
        <v/>
      </c>
      <c r="M195">
        <f>IF($A195="","",IF(OR($D195="",$E195="",Fundamentals!I195="",Fundamentals!K195="",$J195=""),1,0))</f>
        <v/>
      </c>
      <c r="N195">
        <f>Fundamentals!U195</f>
        <v/>
      </c>
    </row>
    <row r="196">
      <c r="A196">
        <f>Fundamentals!A196</f>
        <v/>
      </c>
      <c r="B196">
        <f>Fundamentals!B196</f>
        <v/>
      </c>
      <c r="C196">
        <f>Fundamentals!C196</f>
        <v/>
      </c>
      <c r="D196" s="15">
        <f>Fundamentals!G196</f>
        <v/>
      </c>
      <c r="E196" s="15">
        <f>Fundamentals!H196</f>
        <v/>
      </c>
      <c r="F196" s="16">
        <f>IF(OR($D196="",$E196="",$E196=0),"",$D196/$E196)</f>
        <v/>
      </c>
      <c r="G196" s="15">
        <f>IF(OR(Fundamentals!I196="",Fundamentals!J196="",Fundamentals!K196=""),"",Fundamentals!I196+Fundamentals!J196-Fundamentals!K196)</f>
        <v/>
      </c>
      <c r="H196" s="17">
        <f>IF(OR($G196="",$D196="",$D196=0),"",$G196/$D196)</f>
        <v/>
      </c>
      <c r="I196" s="17">
        <f>IF(OR(Fundamentals!L196="",$E196="",$E196=0),"",Fundamentals!L196/$E196)</f>
        <v/>
      </c>
      <c r="J196" s="15">
        <f>Fundamentals!O196</f>
        <v/>
      </c>
      <c r="K196">
        <f>IF(OR($A196=""),"",IF(AND($C196&lt;&gt;"Growth",$F196&lt;&gt;"",$F196&lt;cfg_PBR_max,$G196&lt;&gt;"",$G196&gt;0,$J196&lt;&gt;"",$J196&gt;=cfg_Liq_min),1,0))</f>
        <v/>
      </c>
      <c r="L196">
        <f>IF($K196="","",IF($K196=1,"",(IF($C196="Growth","Market=Growth; ",""))&amp;(IF(OR($F196="",$F196&gt;=cfg_PBR_max),"PBR&gt;=max/missing; ",""))&amp;(IF(OR($G196="",$G196&lt;=0),"NetCash&lt;=0/missing; ",""))&amp;(IF(OR($J196="",$J196&lt;cfg_Liq_min),"Liquidity&lt;min/missing; ",""))))</f>
        <v/>
      </c>
      <c r="M196">
        <f>IF($A196="","",IF(OR($D196="",$E196="",Fundamentals!I196="",Fundamentals!K196="",$J196=""),1,0))</f>
        <v/>
      </c>
      <c r="N196">
        <f>Fundamentals!U196</f>
        <v/>
      </c>
    </row>
    <row r="197">
      <c r="A197">
        <f>Fundamentals!A197</f>
        <v/>
      </c>
      <c r="B197">
        <f>Fundamentals!B197</f>
        <v/>
      </c>
      <c r="C197">
        <f>Fundamentals!C197</f>
        <v/>
      </c>
      <c r="D197" s="15">
        <f>Fundamentals!G197</f>
        <v/>
      </c>
      <c r="E197" s="15">
        <f>Fundamentals!H197</f>
        <v/>
      </c>
      <c r="F197" s="16">
        <f>IF(OR($D197="",$E197="",$E197=0),"",$D197/$E197)</f>
        <v/>
      </c>
      <c r="G197" s="15">
        <f>IF(OR(Fundamentals!I197="",Fundamentals!J197="",Fundamentals!K197=""),"",Fundamentals!I197+Fundamentals!J197-Fundamentals!K197)</f>
        <v/>
      </c>
      <c r="H197" s="17">
        <f>IF(OR($G197="",$D197="",$D197=0),"",$G197/$D197)</f>
        <v/>
      </c>
      <c r="I197" s="17">
        <f>IF(OR(Fundamentals!L197="",$E197="",$E197=0),"",Fundamentals!L197/$E197)</f>
        <v/>
      </c>
      <c r="J197" s="15">
        <f>Fundamentals!O197</f>
        <v/>
      </c>
      <c r="K197">
        <f>IF(OR($A197=""),"",IF(AND($C197&lt;&gt;"Growth",$F197&lt;&gt;"",$F197&lt;cfg_PBR_max,$G197&lt;&gt;"",$G197&gt;0,$J197&lt;&gt;"",$J197&gt;=cfg_Liq_min),1,0))</f>
        <v/>
      </c>
      <c r="L197">
        <f>IF($K197="","",IF($K197=1,"",(IF($C197="Growth","Market=Growth; ",""))&amp;(IF(OR($F197="",$F197&gt;=cfg_PBR_max),"PBR&gt;=max/missing; ",""))&amp;(IF(OR($G197="",$G197&lt;=0),"NetCash&lt;=0/missing; ",""))&amp;(IF(OR($J197="",$J197&lt;cfg_Liq_min),"Liquidity&lt;min/missing; ",""))))</f>
        <v/>
      </c>
      <c r="M197">
        <f>IF($A197="","",IF(OR($D197="",$E197="",Fundamentals!I197="",Fundamentals!K197="",$J197=""),1,0))</f>
        <v/>
      </c>
      <c r="N197">
        <f>Fundamentals!U197</f>
        <v/>
      </c>
    </row>
    <row r="198">
      <c r="A198">
        <f>Fundamentals!A198</f>
        <v/>
      </c>
      <c r="B198">
        <f>Fundamentals!B198</f>
        <v/>
      </c>
      <c r="C198">
        <f>Fundamentals!C198</f>
        <v/>
      </c>
      <c r="D198" s="15">
        <f>Fundamentals!G198</f>
        <v/>
      </c>
      <c r="E198" s="15">
        <f>Fundamentals!H198</f>
        <v/>
      </c>
      <c r="F198" s="16">
        <f>IF(OR($D198="",$E198="",$E198=0),"",$D198/$E198)</f>
        <v/>
      </c>
      <c r="G198" s="15">
        <f>IF(OR(Fundamentals!I198="",Fundamentals!J198="",Fundamentals!K198=""),"",Fundamentals!I198+Fundamentals!J198-Fundamentals!K198)</f>
        <v/>
      </c>
      <c r="H198" s="17">
        <f>IF(OR($G198="",$D198="",$D198=0),"",$G198/$D198)</f>
        <v/>
      </c>
      <c r="I198" s="17">
        <f>IF(OR(Fundamentals!L198="",$E198="",$E198=0),"",Fundamentals!L198/$E198)</f>
        <v/>
      </c>
      <c r="J198" s="15">
        <f>Fundamentals!O198</f>
        <v/>
      </c>
      <c r="K198">
        <f>IF(OR($A198=""),"",IF(AND($C198&lt;&gt;"Growth",$F198&lt;&gt;"",$F198&lt;cfg_PBR_max,$G198&lt;&gt;"",$G198&gt;0,$J198&lt;&gt;"",$J198&gt;=cfg_Liq_min),1,0))</f>
        <v/>
      </c>
      <c r="L198">
        <f>IF($K198="","",IF($K198=1,"",(IF($C198="Growth","Market=Growth; ",""))&amp;(IF(OR($F198="",$F198&gt;=cfg_PBR_max),"PBR&gt;=max/missing; ",""))&amp;(IF(OR($G198="",$G198&lt;=0),"NetCash&lt;=0/missing; ",""))&amp;(IF(OR($J198="",$J198&lt;cfg_Liq_min),"Liquidity&lt;min/missing; ",""))))</f>
        <v/>
      </c>
      <c r="M198">
        <f>IF($A198="","",IF(OR($D198="",$E198="",Fundamentals!I198="",Fundamentals!K198="",$J198=""),1,0))</f>
        <v/>
      </c>
      <c r="N198">
        <f>Fundamentals!U198</f>
        <v/>
      </c>
    </row>
    <row r="199">
      <c r="A199">
        <f>Fundamentals!A199</f>
        <v/>
      </c>
      <c r="B199">
        <f>Fundamentals!B199</f>
        <v/>
      </c>
      <c r="C199">
        <f>Fundamentals!C199</f>
        <v/>
      </c>
      <c r="D199" s="15">
        <f>Fundamentals!G199</f>
        <v/>
      </c>
      <c r="E199" s="15">
        <f>Fundamentals!H199</f>
        <v/>
      </c>
      <c r="F199" s="16">
        <f>IF(OR($D199="",$E199="",$E199=0),"",$D199/$E199)</f>
        <v/>
      </c>
      <c r="G199" s="15">
        <f>IF(OR(Fundamentals!I199="",Fundamentals!J199="",Fundamentals!K199=""),"",Fundamentals!I199+Fundamentals!J199-Fundamentals!K199)</f>
        <v/>
      </c>
      <c r="H199" s="17">
        <f>IF(OR($G199="",$D199="",$D199=0),"",$G199/$D199)</f>
        <v/>
      </c>
      <c r="I199" s="17">
        <f>IF(OR(Fundamentals!L199="",$E199="",$E199=0),"",Fundamentals!L199/$E199)</f>
        <v/>
      </c>
      <c r="J199" s="15">
        <f>Fundamentals!O199</f>
        <v/>
      </c>
      <c r="K199">
        <f>IF(OR($A199=""),"",IF(AND($C199&lt;&gt;"Growth",$F199&lt;&gt;"",$F199&lt;cfg_PBR_max,$G199&lt;&gt;"",$G199&gt;0,$J199&lt;&gt;"",$J199&gt;=cfg_Liq_min),1,0))</f>
        <v/>
      </c>
      <c r="L199">
        <f>IF($K199="","",IF($K199=1,"",(IF($C199="Growth","Market=Growth; ",""))&amp;(IF(OR($F199="",$F199&gt;=cfg_PBR_max),"PBR&gt;=max/missing; ",""))&amp;(IF(OR($G199="",$G199&lt;=0),"NetCash&lt;=0/missing; ",""))&amp;(IF(OR($J199="",$J199&lt;cfg_Liq_min),"Liquidity&lt;min/missing; ",""))))</f>
        <v/>
      </c>
      <c r="M199">
        <f>IF($A199="","",IF(OR($D199="",$E199="",Fundamentals!I199="",Fundamentals!K199="",$J199=""),1,0))</f>
        <v/>
      </c>
      <c r="N199">
        <f>Fundamentals!U199</f>
        <v/>
      </c>
    </row>
    <row r="200">
      <c r="A200">
        <f>Fundamentals!A200</f>
        <v/>
      </c>
      <c r="B200">
        <f>Fundamentals!B200</f>
        <v/>
      </c>
      <c r="C200">
        <f>Fundamentals!C200</f>
        <v/>
      </c>
      <c r="D200" s="15">
        <f>Fundamentals!G200</f>
        <v/>
      </c>
      <c r="E200" s="15">
        <f>Fundamentals!H200</f>
        <v/>
      </c>
      <c r="F200" s="16">
        <f>IF(OR($D200="",$E200="",$E200=0),"",$D200/$E200)</f>
        <v/>
      </c>
      <c r="G200" s="15">
        <f>IF(OR(Fundamentals!I200="",Fundamentals!J200="",Fundamentals!K200=""),"",Fundamentals!I200+Fundamentals!J200-Fundamentals!K200)</f>
        <v/>
      </c>
      <c r="H200" s="17">
        <f>IF(OR($G200="",$D200="",$D200=0),"",$G200/$D200)</f>
        <v/>
      </c>
      <c r="I200" s="17">
        <f>IF(OR(Fundamentals!L200="",$E200="",$E200=0),"",Fundamentals!L200/$E200)</f>
        <v/>
      </c>
      <c r="J200" s="15">
        <f>Fundamentals!O200</f>
        <v/>
      </c>
      <c r="K200">
        <f>IF(OR($A200=""),"",IF(AND($C200&lt;&gt;"Growth",$F200&lt;&gt;"",$F200&lt;cfg_PBR_max,$G200&lt;&gt;"",$G200&gt;0,$J200&lt;&gt;"",$J200&gt;=cfg_Liq_min),1,0))</f>
        <v/>
      </c>
      <c r="L200">
        <f>IF($K200="","",IF($K200=1,"",(IF($C200="Growth","Market=Growth; ",""))&amp;(IF(OR($F200="",$F200&gt;=cfg_PBR_max),"PBR&gt;=max/missing; ",""))&amp;(IF(OR($G200="",$G200&lt;=0),"NetCash&lt;=0/missing; ",""))&amp;(IF(OR($J200="",$J200&lt;cfg_Liq_min),"Liquidity&lt;min/missing; ",""))))</f>
        <v/>
      </c>
      <c r="M200">
        <f>IF($A200="","",IF(OR($D200="",$E200="",Fundamentals!I200="",Fundamentals!K200="",$J200=""),1,0))</f>
        <v/>
      </c>
      <c r="N200">
        <f>Fundamentals!U200</f>
        <v/>
      </c>
    </row>
    <row r="201">
      <c r="A201">
        <f>Fundamentals!A201</f>
        <v/>
      </c>
      <c r="B201">
        <f>Fundamentals!B201</f>
        <v/>
      </c>
      <c r="C201">
        <f>Fundamentals!C201</f>
        <v/>
      </c>
      <c r="D201" s="15">
        <f>Fundamentals!G201</f>
        <v/>
      </c>
      <c r="E201" s="15">
        <f>Fundamentals!H201</f>
        <v/>
      </c>
      <c r="F201" s="16">
        <f>IF(OR($D201="",$E201="",$E201=0),"",$D201/$E201)</f>
        <v/>
      </c>
      <c r="G201" s="15">
        <f>IF(OR(Fundamentals!I201="",Fundamentals!J201="",Fundamentals!K201=""),"",Fundamentals!I201+Fundamentals!J201-Fundamentals!K201)</f>
        <v/>
      </c>
      <c r="H201" s="17">
        <f>IF(OR($G201="",$D201="",$D201=0),"",$G201/$D201)</f>
        <v/>
      </c>
      <c r="I201" s="17">
        <f>IF(OR(Fundamentals!L201="",$E201="",$E201=0),"",Fundamentals!L201/$E201)</f>
        <v/>
      </c>
      <c r="J201" s="15">
        <f>Fundamentals!O201</f>
        <v/>
      </c>
      <c r="K201">
        <f>IF(OR($A201=""),"",IF(AND($C201&lt;&gt;"Growth",$F201&lt;&gt;"",$F201&lt;cfg_PBR_max,$G201&lt;&gt;"",$G201&gt;0,$J201&lt;&gt;"",$J201&gt;=cfg_Liq_min),1,0))</f>
        <v/>
      </c>
      <c r="L201">
        <f>IF($K201="","",IF($K201=1,"",(IF($C201="Growth","Market=Growth; ",""))&amp;(IF(OR($F201="",$F201&gt;=cfg_PBR_max),"PBR&gt;=max/missing; ",""))&amp;(IF(OR($G201="",$G201&lt;=0),"NetCash&lt;=0/missing; ",""))&amp;(IF(OR($J201="",$J201&lt;cfg_Liq_min),"Liquidity&lt;min/missing; ",""))))</f>
        <v/>
      </c>
      <c r="M201">
        <f>IF($A201="","",IF(OR($D201="",$E201="",Fundamentals!I201="",Fundamentals!K201="",$J201=""),1,0))</f>
        <v/>
      </c>
      <c r="N201">
        <f>Fundamentals!U201</f>
        <v/>
      </c>
    </row>
    <row r="202">
      <c r="A202">
        <f>Fundamentals!A202</f>
        <v/>
      </c>
      <c r="B202">
        <f>Fundamentals!B202</f>
        <v/>
      </c>
      <c r="C202">
        <f>Fundamentals!C202</f>
        <v/>
      </c>
      <c r="D202" s="15">
        <f>Fundamentals!G202</f>
        <v/>
      </c>
      <c r="E202" s="15">
        <f>Fundamentals!H202</f>
        <v/>
      </c>
      <c r="F202" s="16">
        <f>IF(OR($D202="",$E202="",$E202=0),"",$D202/$E202)</f>
        <v/>
      </c>
      <c r="G202" s="15">
        <f>IF(OR(Fundamentals!I202="",Fundamentals!J202="",Fundamentals!K202=""),"",Fundamentals!I202+Fundamentals!J202-Fundamentals!K202)</f>
        <v/>
      </c>
      <c r="H202" s="17">
        <f>IF(OR($G202="",$D202="",$D202=0),"",$G202/$D202)</f>
        <v/>
      </c>
      <c r="I202" s="17">
        <f>IF(OR(Fundamentals!L202="",$E202="",$E202=0),"",Fundamentals!L202/$E202)</f>
        <v/>
      </c>
      <c r="J202" s="15">
        <f>Fundamentals!O202</f>
        <v/>
      </c>
      <c r="K202">
        <f>IF(OR($A202=""),"",IF(AND($C202&lt;&gt;"Growth",$F202&lt;&gt;"",$F202&lt;cfg_PBR_max,$G202&lt;&gt;"",$G202&gt;0,$J202&lt;&gt;"",$J202&gt;=cfg_Liq_min),1,0))</f>
        <v/>
      </c>
      <c r="L202">
        <f>IF($K202="","",IF($K202=1,"",(IF($C202="Growth","Market=Growth; ",""))&amp;(IF(OR($F202="",$F202&gt;=cfg_PBR_max),"PBR&gt;=max/missing; ",""))&amp;(IF(OR($G202="",$G202&lt;=0),"NetCash&lt;=0/missing; ",""))&amp;(IF(OR($J202="",$J202&lt;cfg_Liq_min),"Liquidity&lt;min/missing; ",""))))</f>
        <v/>
      </c>
      <c r="M202">
        <f>IF($A202="","",IF(OR($D202="",$E202="",Fundamentals!I202="",Fundamentals!K202="",$J202=""),1,0))</f>
        <v/>
      </c>
      <c r="N202">
        <f>Fundamentals!U202</f>
        <v/>
      </c>
    </row>
  </sheetData>
  <autoFilter ref="A2:N2"/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8" customWidth="1" min="9" max="9"/>
    <col width="14" customWidth="1" min="10" max="10"/>
    <col width="10" customWidth="1" min="11" max="11"/>
    <col width="12" customWidth="1" min="12" max="12"/>
    <col width="14" customWidth="1" min="13" max="13"/>
    <col width="16" customWidth="1" min="14" max="14"/>
    <col width="14" customWidth="1" min="15" max="15"/>
    <col width="14" customWidth="1" min="16" max="16"/>
    <col width="12" customWidth="1" min="17" max="17"/>
    <col width="10" customWidth="1" min="18" max="18"/>
    <col width="22" customWidth="1" min="19" max="19"/>
    <col width="12" customWidth="1" min="20" max="20"/>
  </cols>
  <sheetData>
    <row r="1" ht="24" customHeight="1">
      <c r="A1" s="1" t="inlineStr">
        <is>
          <t>Scores (TotalScore 0-100; core-pass only for Top20)</t>
        </is>
      </c>
    </row>
    <row r="2">
      <c r="A2" s="10" t="inlineStr">
        <is>
          <t>Ticker</t>
        </is>
      </c>
      <c r="B2" s="10" t="inlineStr">
        <is>
          <t>Name</t>
        </is>
      </c>
      <c r="C2" s="10" t="inlineStr">
        <is>
          <t>Market Segment</t>
        </is>
      </c>
      <c r="D2" s="10" t="inlineStr">
        <is>
          <t>Core Pass (1/0)</t>
        </is>
      </c>
      <c r="E2" s="10" t="inlineStr">
        <is>
          <t>PBR</t>
        </is>
      </c>
      <c r="F2" s="10" t="inlineStr">
        <is>
          <t>PBR Score (0-1)</t>
        </is>
      </c>
      <c r="G2" s="10" t="inlineStr">
        <is>
          <t>NetCash%</t>
        </is>
      </c>
      <c r="H2" s="10" t="inlineStr">
        <is>
          <t>NetCash Score (0-1)</t>
        </is>
      </c>
      <c r="I2" s="10" t="inlineStr">
        <is>
          <t>Liquidity (¥mm/day)</t>
        </is>
      </c>
      <c r="J2" s="10" t="inlineStr">
        <is>
          <t>Liquidity Score (0-1)</t>
        </is>
      </c>
      <c r="K2" s="10" t="inlineStr">
        <is>
          <t>Div Yield</t>
        </is>
      </c>
      <c r="L2" s="10" t="inlineStr">
        <is>
          <t>Buyback Yield</t>
        </is>
      </c>
      <c r="M2" s="10" t="inlineStr">
        <is>
          <t>Return Score (0-1)</t>
        </is>
      </c>
      <c r="N2" s="10" t="inlineStr">
        <is>
          <t>Gov/Act Inputs (0-1)</t>
        </is>
      </c>
      <c r="O2" s="10" t="inlineStr">
        <is>
          <t>Gov/Act Score (0-1)</t>
        </is>
      </c>
      <c r="P2" s="10" t="inlineStr">
        <is>
          <t>Total Score (0-100)</t>
        </is>
      </c>
      <c r="Q2" s="10" t="inlineStr">
        <is>
          <t>ScoreKey</t>
        </is>
      </c>
      <c r="R2" s="10" t="inlineStr">
        <is>
          <t>Rank (1=best)</t>
        </is>
      </c>
      <c r="S2" s="10" t="inlineStr">
        <is>
          <t>Exclude Reason</t>
        </is>
      </c>
      <c r="T2" s="10" t="inlineStr">
        <is>
          <t>CoreScoreKey</t>
        </is>
      </c>
    </row>
    <row r="3">
      <c r="A3">
        <f>Derived!A3</f>
        <v/>
      </c>
      <c r="B3">
        <f>Derived!B3</f>
        <v/>
      </c>
      <c r="C3">
        <f>Derived!C3</f>
        <v/>
      </c>
      <c r="D3">
        <f>Derived!K3</f>
        <v/>
      </c>
      <c r="E3" s="16">
        <f>Derived!F3</f>
        <v/>
      </c>
      <c r="F3">
        <f>IF(OR($E3=""),"",MAX(0,MIN(1,(cfg_PBR_max-MIN($E3,cfg_PBR_max))/(cfg_PBR_max-cfg_PBR_floor))))</f>
        <v/>
      </c>
      <c r="G3" s="17">
        <f>Derived!H3</f>
        <v/>
      </c>
      <c r="H3">
        <f>IF(OR($G3=""),"",MAX(0,MIN(1,MIN($G3,cap_NetCashPct)/cap_NetCashPct)))</f>
        <v/>
      </c>
      <c r="I3" s="15">
        <f>Derived!J3</f>
        <v/>
      </c>
      <c r="J3">
        <f>IF(OR($I3=""),"",MAX(0,MIN(1,($I3-cfg_Liq_min)/(cfg_Liq_cap-cfg_Liq_min))))</f>
        <v/>
      </c>
      <c r="K3" s="17">
        <f>Fundamentals!P3</f>
        <v/>
      </c>
      <c r="L3" s="17">
        <f>Fundamentals!Q3</f>
        <v/>
      </c>
      <c r="M3">
        <f>IF(AND($K3="",$L3=""),"",MIN(1,IF($K3="",0,MIN($K3,cap_DivYield)/cap_DivYield)*0.5+IF($L3="",0,MIN($L3,cap_BuybackYield)/cap_BuybackYield)*0.5))</f>
        <v/>
      </c>
      <c r="N3">
        <f>IF($A3="","",AVERAGE(IF(Fundamentals!R3="",0,Fundamentals!R3),IF(Fundamentals!S3="",0,Fundamentals!S3),IF(Fundamentals!T3="",0,Fundamentals!T3)))</f>
        <v/>
      </c>
      <c r="O3">
        <f>IF($A3="","",MAX(0,MIN(1,$N3)))</f>
        <v/>
      </c>
      <c r="P3" s="18">
        <f>IF($A3="","",ROUND(w_PBR*$F3+w_NetCash*$H3+w_Liq*$J3+w_Return*$M3+w_GovAct*$O3,2))</f>
        <v/>
      </c>
      <c r="Q3" s="19">
        <f>IF($A3="","",$P3+(100000-ROW())/100000000)</f>
        <v/>
      </c>
      <c r="R3">
        <f>IF($A3="","",IF($D3&lt;&gt;1,"",RANK.EQ($Q3,$Q$3:$Q$202,0)))</f>
        <v/>
      </c>
      <c r="S3">
        <f>IF($A3="","",IF($D3=1,"",Derived!L3))</f>
        <v/>
      </c>
      <c r="T3" s="19">
        <f>IF($D3=1,$Q3,"")</f>
        <v/>
      </c>
    </row>
    <row r="4">
      <c r="A4">
        <f>Derived!A4</f>
        <v/>
      </c>
      <c r="B4">
        <f>Derived!B4</f>
        <v/>
      </c>
      <c r="C4">
        <f>Derived!C4</f>
        <v/>
      </c>
      <c r="D4">
        <f>Derived!K4</f>
        <v/>
      </c>
      <c r="E4" s="16">
        <f>Derived!F4</f>
        <v/>
      </c>
      <c r="F4">
        <f>IF(OR($E4=""),"",MAX(0,MIN(1,(cfg_PBR_max-MIN($E4,cfg_PBR_max))/(cfg_PBR_max-cfg_PBR_floor))))</f>
        <v/>
      </c>
      <c r="G4" s="17">
        <f>Derived!H4</f>
        <v/>
      </c>
      <c r="H4">
        <f>IF(OR($G4=""),"",MAX(0,MIN(1,MIN($G4,cap_NetCashPct)/cap_NetCashPct)))</f>
        <v/>
      </c>
      <c r="I4" s="15">
        <f>Derived!J4</f>
        <v/>
      </c>
      <c r="J4">
        <f>IF(OR($I4=""),"",MAX(0,MIN(1,($I4-cfg_Liq_min)/(cfg_Liq_cap-cfg_Liq_min))))</f>
        <v/>
      </c>
      <c r="K4" s="17">
        <f>Fundamentals!P4</f>
        <v/>
      </c>
      <c r="L4" s="17">
        <f>Fundamentals!Q4</f>
        <v/>
      </c>
      <c r="M4">
        <f>IF(AND($K4="",$L4=""),"",MIN(1,IF($K4="",0,MIN($K4,cap_DivYield)/cap_DivYield)*0.5+IF($L4="",0,MIN($L4,cap_BuybackYield)/cap_BuybackYield)*0.5))</f>
        <v/>
      </c>
      <c r="N4">
        <f>IF($A4="","",AVERAGE(IF(Fundamentals!R4="",0,Fundamentals!R4),IF(Fundamentals!S4="",0,Fundamentals!S4),IF(Fundamentals!T4="",0,Fundamentals!T4)))</f>
        <v/>
      </c>
      <c r="O4">
        <f>IF($A4="","",MAX(0,MIN(1,$N4)))</f>
        <v/>
      </c>
      <c r="P4" s="18">
        <f>IF($A4="","",ROUND(w_PBR*$F4+w_NetCash*$H4+w_Liq*$J4+w_Return*$M4+w_GovAct*$O4,2))</f>
        <v/>
      </c>
      <c r="Q4" s="19">
        <f>IF($A4="","",$P4+(100000-ROW())/100000000)</f>
        <v/>
      </c>
      <c r="R4">
        <f>IF($A4="","",IF($D4&lt;&gt;1,"",RANK.EQ($Q4,$Q$3:$Q$202,0)))</f>
        <v/>
      </c>
      <c r="S4">
        <f>IF($A4="","",IF($D4=1,"",Derived!L4))</f>
        <v/>
      </c>
      <c r="T4" s="19">
        <f>IF($D4=1,$Q4,"")</f>
        <v/>
      </c>
    </row>
    <row r="5">
      <c r="A5">
        <f>Derived!A5</f>
        <v/>
      </c>
      <c r="B5">
        <f>Derived!B5</f>
        <v/>
      </c>
      <c r="C5">
        <f>Derived!C5</f>
        <v/>
      </c>
      <c r="D5">
        <f>Derived!K5</f>
        <v/>
      </c>
      <c r="E5" s="16">
        <f>Derived!F5</f>
        <v/>
      </c>
      <c r="F5">
        <f>IF(OR($E5=""),"",MAX(0,MIN(1,(cfg_PBR_max-MIN($E5,cfg_PBR_max))/(cfg_PBR_max-cfg_PBR_floor))))</f>
        <v/>
      </c>
      <c r="G5" s="17">
        <f>Derived!H5</f>
        <v/>
      </c>
      <c r="H5">
        <f>IF(OR($G5=""),"",MAX(0,MIN(1,MIN($G5,cap_NetCashPct)/cap_NetCashPct)))</f>
        <v/>
      </c>
      <c r="I5" s="15">
        <f>Derived!J5</f>
        <v/>
      </c>
      <c r="J5">
        <f>IF(OR($I5=""),"",MAX(0,MIN(1,($I5-cfg_Liq_min)/(cfg_Liq_cap-cfg_Liq_min))))</f>
        <v/>
      </c>
      <c r="K5" s="17">
        <f>Fundamentals!P5</f>
        <v/>
      </c>
      <c r="L5" s="17">
        <f>Fundamentals!Q5</f>
        <v/>
      </c>
      <c r="M5">
        <f>IF(AND($K5="",$L5=""),"",MIN(1,IF($K5="",0,MIN($K5,cap_DivYield)/cap_DivYield)*0.5+IF($L5="",0,MIN($L5,cap_BuybackYield)/cap_BuybackYield)*0.5))</f>
        <v/>
      </c>
      <c r="N5">
        <f>IF($A5="","",AVERAGE(IF(Fundamentals!R5="",0,Fundamentals!R5),IF(Fundamentals!S5="",0,Fundamentals!S5),IF(Fundamentals!T5="",0,Fundamentals!T5)))</f>
        <v/>
      </c>
      <c r="O5">
        <f>IF($A5="","",MAX(0,MIN(1,$N5)))</f>
        <v/>
      </c>
      <c r="P5" s="18">
        <f>IF($A5="","",ROUND(w_PBR*$F5+w_NetCash*$H5+w_Liq*$J5+w_Return*$M5+w_GovAct*$O5,2))</f>
        <v/>
      </c>
      <c r="Q5" s="19">
        <f>IF($A5="","",$P5+(100000-ROW())/100000000)</f>
        <v/>
      </c>
      <c r="R5">
        <f>IF($A5="","",IF($D5&lt;&gt;1,"",RANK.EQ($Q5,$Q$3:$Q$202,0)))</f>
        <v/>
      </c>
      <c r="S5">
        <f>IF($A5="","",IF($D5=1,"",Derived!L5))</f>
        <v/>
      </c>
      <c r="T5" s="19">
        <f>IF($D5=1,$Q5,"")</f>
        <v/>
      </c>
    </row>
    <row r="6">
      <c r="A6">
        <f>Derived!A6</f>
        <v/>
      </c>
      <c r="B6">
        <f>Derived!B6</f>
        <v/>
      </c>
      <c r="C6">
        <f>Derived!C6</f>
        <v/>
      </c>
      <c r="D6">
        <f>Derived!K6</f>
        <v/>
      </c>
      <c r="E6" s="16">
        <f>Derived!F6</f>
        <v/>
      </c>
      <c r="F6">
        <f>IF(OR($E6=""),"",MAX(0,MIN(1,(cfg_PBR_max-MIN($E6,cfg_PBR_max))/(cfg_PBR_max-cfg_PBR_floor))))</f>
        <v/>
      </c>
      <c r="G6" s="17">
        <f>Derived!H6</f>
        <v/>
      </c>
      <c r="H6">
        <f>IF(OR($G6=""),"",MAX(0,MIN(1,MIN($G6,cap_NetCashPct)/cap_NetCashPct)))</f>
        <v/>
      </c>
      <c r="I6" s="15">
        <f>Derived!J6</f>
        <v/>
      </c>
      <c r="J6">
        <f>IF(OR($I6=""),"",MAX(0,MIN(1,($I6-cfg_Liq_min)/(cfg_Liq_cap-cfg_Liq_min))))</f>
        <v/>
      </c>
      <c r="K6" s="17">
        <f>Fundamentals!P6</f>
        <v/>
      </c>
      <c r="L6" s="17">
        <f>Fundamentals!Q6</f>
        <v/>
      </c>
      <c r="M6">
        <f>IF(AND($K6="",$L6=""),"",MIN(1,IF($K6="",0,MIN($K6,cap_DivYield)/cap_DivYield)*0.5+IF($L6="",0,MIN($L6,cap_BuybackYield)/cap_BuybackYield)*0.5))</f>
        <v/>
      </c>
      <c r="N6">
        <f>IF($A6="","",AVERAGE(IF(Fundamentals!R6="",0,Fundamentals!R6),IF(Fundamentals!S6="",0,Fundamentals!S6),IF(Fundamentals!T6="",0,Fundamentals!T6)))</f>
        <v/>
      </c>
      <c r="O6">
        <f>IF($A6="","",MAX(0,MIN(1,$N6)))</f>
        <v/>
      </c>
      <c r="P6" s="18">
        <f>IF($A6="","",ROUND(w_PBR*$F6+w_NetCash*$H6+w_Liq*$J6+w_Return*$M6+w_GovAct*$O6,2))</f>
        <v/>
      </c>
      <c r="Q6" s="19">
        <f>IF($A6="","",$P6+(100000-ROW())/100000000)</f>
        <v/>
      </c>
      <c r="R6">
        <f>IF($A6="","",IF($D6&lt;&gt;1,"",RANK.EQ($Q6,$Q$3:$Q$202,0)))</f>
        <v/>
      </c>
      <c r="S6">
        <f>IF($A6="","",IF($D6=1,"",Derived!L6))</f>
        <v/>
      </c>
      <c r="T6" s="19">
        <f>IF($D6=1,$Q6,"")</f>
        <v/>
      </c>
    </row>
    <row r="7">
      <c r="A7">
        <f>Derived!A7</f>
        <v/>
      </c>
      <c r="B7">
        <f>Derived!B7</f>
        <v/>
      </c>
      <c r="C7">
        <f>Derived!C7</f>
        <v/>
      </c>
      <c r="D7">
        <f>Derived!K7</f>
        <v/>
      </c>
      <c r="E7" s="16">
        <f>Derived!F7</f>
        <v/>
      </c>
      <c r="F7">
        <f>IF(OR($E7=""),"",MAX(0,MIN(1,(cfg_PBR_max-MIN($E7,cfg_PBR_max))/(cfg_PBR_max-cfg_PBR_floor))))</f>
        <v/>
      </c>
      <c r="G7" s="17">
        <f>Derived!H7</f>
        <v/>
      </c>
      <c r="H7">
        <f>IF(OR($G7=""),"",MAX(0,MIN(1,MIN($G7,cap_NetCashPct)/cap_NetCashPct)))</f>
        <v/>
      </c>
      <c r="I7" s="15">
        <f>Derived!J7</f>
        <v/>
      </c>
      <c r="J7">
        <f>IF(OR($I7=""),"",MAX(0,MIN(1,($I7-cfg_Liq_min)/(cfg_Liq_cap-cfg_Liq_min))))</f>
        <v/>
      </c>
      <c r="K7" s="17">
        <f>Fundamentals!P7</f>
        <v/>
      </c>
      <c r="L7" s="17">
        <f>Fundamentals!Q7</f>
        <v/>
      </c>
      <c r="M7">
        <f>IF(AND($K7="",$L7=""),"",MIN(1,IF($K7="",0,MIN($K7,cap_DivYield)/cap_DivYield)*0.5+IF($L7="",0,MIN($L7,cap_BuybackYield)/cap_BuybackYield)*0.5))</f>
        <v/>
      </c>
      <c r="N7">
        <f>IF($A7="","",AVERAGE(IF(Fundamentals!R7="",0,Fundamentals!R7),IF(Fundamentals!S7="",0,Fundamentals!S7),IF(Fundamentals!T7="",0,Fundamentals!T7)))</f>
        <v/>
      </c>
      <c r="O7">
        <f>IF($A7="","",MAX(0,MIN(1,$N7)))</f>
        <v/>
      </c>
      <c r="P7" s="18">
        <f>IF($A7="","",ROUND(w_PBR*$F7+w_NetCash*$H7+w_Liq*$J7+w_Return*$M7+w_GovAct*$O7,2))</f>
        <v/>
      </c>
      <c r="Q7" s="19">
        <f>IF($A7="","",$P7+(100000-ROW())/100000000)</f>
        <v/>
      </c>
      <c r="R7">
        <f>IF($A7="","",IF($D7&lt;&gt;1,"",RANK.EQ($Q7,$Q$3:$Q$202,0)))</f>
        <v/>
      </c>
      <c r="S7">
        <f>IF($A7="","",IF($D7=1,"",Derived!L7))</f>
        <v/>
      </c>
      <c r="T7" s="19">
        <f>IF($D7=1,$Q7,"")</f>
        <v/>
      </c>
    </row>
    <row r="8">
      <c r="A8">
        <f>Derived!A8</f>
        <v/>
      </c>
      <c r="B8">
        <f>Derived!B8</f>
        <v/>
      </c>
      <c r="C8">
        <f>Derived!C8</f>
        <v/>
      </c>
      <c r="D8">
        <f>Derived!K8</f>
        <v/>
      </c>
      <c r="E8" s="16">
        <f>Derived!F8</f>
        <v/>
      </c>
      <c r="F8">
        <f>IF(OR($E8=""),"",MAX(0,MIN(1,(cfg_PBR_max-MIN($E8,cfg_PBR_max))/(cfg_PBR_max-cfg_PBR_floor))))</f>
        <v/>
      </c>
      <c r="G8" s="17">
        <f>Derived!H8</f>
        <v/>
      </c>
      <c r="H8">
        <f>IF(OR($G8=""),"",MAX(0,MIN(1,MIN($G8,cap_NetCashPct)/cap_NetCashPct)))</f>
        <v/>
      </c>
      <c r="I8" s="15">
        <f>Derived!J8</f>
        <v/>
      </c>
      <c r="J8">
        <f>IF(OR($I8=""),"",MAX(0,MIN(1,($I8-cfg_Liq_min)/(cfg_Liq_cap-cfg_Liq_min))))</f>
        <v/>
      </c>
      <c r="K8" s="17">
        <f>Fundamentals!P8</f>
        <v/>
      </c>
      <c r="L8" s="17">
        <f>Fundamentals!Q8</f>
        <v/>
      </c>
      <c r="M8">
        <f>IF(AND($K8="",$L8=""),"",MIN(1,IF($K8="",0,MIN($K8,cap_DivYield)/cap_DivYield)*0.5+IF($L8="",0,MIN($L8,cap_BuybackYield)/cap_BuybackYield)*0.5))</f>
        <v/>
      </c>
      <c r="N8">
        <f>IF($A8="","",AVERAGE(IF(Fundamentals!R8="",0,Fundamentals!R8),IF(Fundamentals!S8="",0,Fundamentals!S8),IF(Fundamentals!T8="",0,Fundamentals!T8)))</f>
        <v/>
      </c>
      <c r="O8">
        <f>IF($A8="","",MAX(0,MIN(1,$N8)))</f>
        <v/>
      </c>
      <c r="P8" s="18">
        <f>IF($A8="","",ROUND(w_PBR*$F8+w_NetCash*$H8+w_Liq*$J8+w_Return*$M8+w_GovAct*$O8,2))</f>
        <v/>
      </c>
      <c r="Q8" s="19">
        <f>IF($A8="","",$P8+(100000-ROW())/100000000)</f>
        <v/>
      </c>
      <c r="R8">
        <f>IF($A8="","",IF($D8&lt;&gt;1,"",RANK.EQ($Q8,$Q$3:$Q$202,0)))</f>
        <v/>
      </c>
      <c r="S8">
        <f>IF($A8="","",IF($D8=1,"",Derived!L8))</f>
        <v/>
      </c>
      <c r="T8" s="19">
        <f>IF($D8=1,$Q8,"")</f>
        <v/>
      </c>
    </row>
    <row r="9">
      <c r="A9">
        <f>Derived!A9</f>
        <v/>
      </c>
      <c r="B9">
        <f>Derived!B9</f>
        <v/>
      </c>
      <c r="C9">
        <f>Derived!C9</f>
        <v/>
      </c>
      <c r="D9">
        <f>Derived!K9</f>
        <v/>
      </c>
      <c r="E9" s="16">
        <f>Derived!F9</f>
        <v/>
      </c>
      <c r="F9">
        <f>IF(OR($E9=""),"",MAX(0,MIN(1,(cfg_PBR_max-MIN($E9,cfg_PBR_max))/(cfg_PBR_max-cfg_PBR_floor))))</f>
        <v/>
      </c>
      <c r="G9" s="17">
        <f>Derived!H9</f>
        <v/>
      </c>
      <c r="H9">
        <f>IF(OR($G9=""),"",MAX(0,MIN(1,MIN($G9,cap_NetCashPct)/cap_NetCashPct)))</f>
        <v/>
      </c>
      <c r="I9" s="15">
        <f>Derived!J9</f>
        <v/>
      </c>
      <c r="J9">
        <f>IF(OR($I9=""),"",MAX(0,MIN(1,($I9-cfg_Liq_min)/(cfg_Liq_cap-cfg_Liq_min))))</f>
        <v/>
      </c>
      <c r="K9" s="17">
        <f>Fundamentals!P9</f>
        <v/>
      </c>
      <c r="L9" s="17">
        <f>Fundamentals!Q9</f>
        <v/>
      </c>
      <c r="M9">
        <f>IF(AND($K9="",$L9=""),"",MIN(1,IF($K9="",0,MIN($K9,cap_DivYield)/cap_DivYield)*0.5+IF($L9="",0,MIN($L9,cap_BuybackYield)/cap_BuybackYield)*0.5))</f>
        <v/>
      </c>
      <c r="N9">
        <f>IF($A9="","",AVERAGE(IF(Fundamentals!R9="",0,Fundamentals!R9),IF(Fundamentals!S9="",0,Fundamentals!S9),IF(Fundamentals!T9="",0,Fundamentals!T9)))</f>
        <v/>
      </c>
      <c r="O9">
        <f>IF($A9="","",MAX(0,MIN(1,$N9)))</f>
        <v/>
      </c>
      <c r="P9" s="18">
        <f>IF($A9="","",ROUND(w_PBR*$F9+w_NetCash*$H9+w_Liq*$J9+w_Return*$M9+w_GovAct*$O9,2))</f>
        <v/>
      </c>
      <c r="Q9" s="19">
        <f>IF($A9="","",$P9+(100000-ROW())/100000000)</f>
        <v/>
      </c>
      <c r="R9">
        <f>IF($A9="","",IF($D9&lt;&gt;1,"",RANK.EQ($Q9,$Q$3:$Q$202,0)))</f>
        <v/>
      </c>
      <c r="S9">
        <f>IF($A9="","",IF($D9=1,"",Derived!L9))</f>
        <v/>
      </c>
      <c r="T9" s="19">
        <f>IF($D9=1,$Q9,"")</f>
        <v/>
      </c>
    </row>
    <row r="10">
      <c r="A10">
        <f>Derived!A10</f>
        <v/>
      </c>
      <c r="B10">
        <f>Derived!B10</f>
        <v/>
      </c>
      <c r="C10">
        <f>Derived!C10</f>
        <v/>
      </c>
      <c r="D10">
        <f>Derived!K10</f>
        <v/>
      </c>
      <c r="E10" s="16">
        <f>Derived!F10</f>
        <v/>
      </c>
      <c r="F10">
        <f>IF(OR($E10=""),"",MAX(0,MIN(1,(cfg_PBR_max-MIN($E10,cfg_PBR_max))/(cfg_PBR_max-cfg_PBR_floor))))</f>
        <v/>
      </c>
      <c r="G10" s="17">
        <f>Derived!H10</f>
        <v/>
      </c>
      <c r="H10">
        <f>IF(OR($G10=""),"",MAX(0,MIN(1,MIN($G10,cap_NetCashPct)/cap_NetCashPct)))</f>
        <v/>
      </c>
      <c r="I10" s="15">
        <f>Derived!J10</f>
        <v/>
      </c>
      <c r="J10">
        <f>IF(OR($I10=""),"",MAX(0,MIN(1,($I10-cfg_Liq_min)/(cfg_Liq_cap-cfg_Liq_min))))</f>
        <v/>
      </c>
      <c r="K10" s="17">
        <f>Fundamentals!P10</f>
        <v/>
      </c>
      <c r="L10" s="17">
        <f>Fundamentals!Q10</f>
        <v/>
      </c>
      <c r="M10">
        <f>IF(AND($K10="",$L10=""),"",MIN(1,IF($K10="",0,MIN($K10,cap_DivYield)/cap_DivYield)*0.5+IF($L10="",0,MIN($L10,cap_BuybackYield)/cap_BuybackYield)*0.5))</f>
        <v/>
      </c>
      <c r="N10">
        <f>IF($A10="","",AVERAGE(IF(Fundamentals!R10="",0,Fundamentals!R10),IF(Fundamentals!S10="",0,Fundamentals!S10),IF(Fundamentals!T10="",0,Fundamentals!T10)))</f>
        <v/>
      </c>
      <c r="O10">
        <f>IF($A10="","",MAX(0,MIN(1,$N10)))</f>
        <v/>
      </c>
      <c r="P10" s="18">
        <f>IF($A10="","",ROUND(w_PBR*$F10+w_NetCash*$H10+w_Liq*$J10+w_Return*$M10+w_GovAct*$O10,2))</f>
        <v/>
      </c>
      <c r="Q10" s="19">
        <f>IF($A10="","",$P10+(100000-ROW())/100000000)</f>
        <v/>
      </c>
      <c r="R10">
        <f>IF($A10="","",IF($D10&lt;&gt;1,"",RANK.EQ($Q10,$Q$3:$Q$202,0)))</f>
        <v/>
      </c>
      <c r="S10">
        <f>IF($A10="","",IF($D10=1,"",Derived!L10))</f>
        <v/>
      </c>
      <c r="T10" s="19">
        <f>IF($D10=1,$Q10,"")</f>
        <v/>
      </c>
    </row>
    <row r="11">
      <c r="A11">
        <f>Derived!A11</f>
        <v/>
      </c>
      <c r="B11">
        <f>Derived!B11</f>
        <v/>
      </c>
      <c r="C11">
        <f>Derived!C11</f>
        <v/>
      </c>
      <c r="D11">
        <f>Derived!K11</f>
        <v/>
      </c>
      <c r="E11" s="16">
        <f>Derived!F11</f>
        <v/>
      </c>
      <c r="F11">
        <f>IF(OR($E11=""),"",MAX(0,MIN(1,(cfg_PBR_max-MIN($E11,cfg_PBR_max))/(cfg_PBR_max-cfg_PBR_floor))))</f>
        <v/>
      </c>
      <c r="G11" s="17">
        <f>Derived!H11</f>
        <v/>
      </c>
      <c r="H11">
        <f>IF(OR($G11=""),"",MAX(0,MIN(1,MIN($G11,cap_NetCashPct)/cap_NetCashPct)))</f>
        <v/>
      </c>
      <c r="I11" s="15">
        <f>Derived!J11</f>
        <v/>
      </c>
      <c r="J11">
        <f>IF(OR($I11=""),"",MAX(0,MIN(1,($I11-cfg_Liq_min)/(cfg_Liq_cap-cfg_Liq_min))))</f>
        <v/>
      </c>
      <c r="K11" s="17">
        <f>Fundamentals!P11</f>
        <v/>
      </c>
      <c r="L11" s="17">
        <f>Fundamentals!Q11</f>
        <v/>
      </c>
      <c r="M11">
        <f>IF(AND($K11="",$L11=""),"",MIN(1,IF($K11="",0,MIN($K11,cap_DivYield)/cap_DivYield)*0.5+IF($L11="",0,MIN($L11,cap_BuybackYield)/cap_BuybackYield)*0.5))</f>
        <v/>
      </c>
      <c r="N11">
        <f>IF($A11="","",AVERAGE(IF(Fundamentals!R11="",0,Fundamentals!R11),IF(Fundamentals!S11="",0,Fundamentals!S11),IF(Fundamentals!T11="",0,Fundamentals!T11)))</f>
        <v/>
      </c>
      <c r="O11">
        <f>IF($A11="","",MAX(0,MIN(1,$N11)))</f>
        <v/>
      </c>
      <c r="P11" s="18">
        <f>IF($A11="","",ROUND(w_PBR*$F11+w_NetCash*$H11+w_Liq*$J11+w_Return*$M11+w_GovAct*$O11,2))</f>
        <v/>
      </c>
      <c r="Q11" s="19">
        <f>IF($A11="","",$P11+(100000-ROW())/100000000)</f>
        <v/>
      </c>
      <c r="R11">
        <f>IF($A11="","",IF($D11&lt;&gt;1,"",RANK.EQ($Q11,$Q$3:$Q$202,0)))</f>
        <v/>
      </c>
      <c r="S11">
        <f>IF($A11="","",IF($D11=1,"",Derived!L11))</f>
        <v/>
      </c>
      <c r="T11" s="19">
        <f>IF($D11=1,$Q11,"")</f>
        <v/>
      </c>
    </row>
    <row r="12">
      <c r="A12">
        <f>Derived!A12</f>
        <v/>
      </c>
      <c r="B12">
        <f>Derived!B12</f>
        <v/>
      </c>
      <c r="C12">
        <f>Derived!C12</f>
        <v/>
      </c>
      <c r="D12">
        <f>Derived!K12</f>
        <v/>
      </c>
      <c r="E12" s="16">
        <f>Derived!F12</f>
        <v/>
      </c>
      <c r="F12">
        <f>IF(OR($E12=""),"",MAX(0,MIN(1,(cfg_PBR_max-MIN($E12,cfg_PBR_max))/(cfg_PBR_max-cfg_PBR_floor))))</f>
        <v/>
      </c>
      <c r="G12" s="17">
        <f>Derived!H12</f>
        <v/>
      </c>
      <c r="H12">
        <f>IF(OR($G12=""),"",MAX(0,MIN(1,MIN($G12,cap_NetCashPct)/cap_NetCashPct)))</f>
        <v/>
      </c>
      <c r="I12" s="15">
        <f>Derived!J12</f>
        <v/>
      </c>
      <c r="J12">
        <f>IF(OR($I12=""),"",MAX(0,MIN(1,($I12-cfg_Liq_min)/(cfg_Liq_cap-cfg_Liq_min))))</f>
        <v/>
      </c>
      <c r="K12" s="17">
        <f>Fundamentals!P12</f>
        <v/>
      </c>
      <c r="L12" s="17">
        <f>Fundamentals!Q12</f>
        <v/>
      </c>
      <c r="M12">
        <f>IF(AND($K12="",$L12=""),"",MIN(1,IF($K12="",0,MIN($K12,cap_DivYield)/cap_DivYield)*0.5+IF($L12="",0,MIN($L12,cap_BuybackYield)/cap_BuybackYield)*0.5))</f>
        <v/>
      </c>
      <c r="N12">
        <f>IF($A12="","",AVERAGE(IF(Fundamentals!R12="",0,Fundamentals!R12),IF(Fundamentals!S12="",0,Fundamentals!S12),IF(Fundamentals!T12="",0,Fundamentals!T12)))</f>
        <v/>
      </c>
      <c r="O12">
        <f>IF($A12="","",MAX(0,MIN(1,$N12)))</f>
        <v/>
      </c>
      <c r="P12" s="18">
        <f>IF($A12="","",ROUND(w_PBR*$F12+w_NetCash*$H12+w_Liq*$J12+w_Return*$M12+w_GovAct*$O12,2))</f>
        <v/>
      </c>
      <c r="Q12" s="19">
        <f>IF($A12="","",$P12+(100000-ROW())/100000000)</f>
        <v/>
      </c>
      <c r="R12">
        <f>IF($A12="","",IF($D12&lt;&gt;1,"",RANK.EQ($Q12,$Q$3:$Q$202,0)))</f>
        <v/>
      </c>
      <c r="S12">
        <f>IF($A12="","",IF($D12=1,"",Derived!L12))</f>
        <v/>
      </c>
      <c r="T12" s="19">
        <f>IF($D12=1,$Q12,"")</f>
        <v/>
      </c>
    </row>
    <row r="13">
      <c r="A13">
        <f>Derived!A13</f>
        <v/>
      </c>
      <c r="B13">
        <f>Derived!B13</f>
        <v/>
      </c>
      <c r="C13">
        <f>Derived!C13</f>
        <v/>
      </c>
      <c r="D13">
        <f>Derived!K13</f>
        <v/>
      </c>
      <c r="E13" s="16">
        <f>Derived!F13</f>
        <v/>
      </c>
      <c r="F13">
        <f>IF(OR($E13=""),"",MAX(0,MIN(1,(cfg_PBR_max-MIN($E13,cfg_PBR_max))/(cfg_PBR_max-cfg_PBR_floor))))</f>
        <v/>
      </c>
      <c r="G13" s="17">
        <f>Derived!H13</f>
        <v/>
      </c>
      <c r="H13">
        <f>IF(OR($G13=""),"",MAX(0,MIN(1,MIN($G13,cap_NetCashPct)/cap_NetCashPct)))</f>
        <v/>
      </c>
      <c r="I13" s="15">
        <f>Derived!J13</f>
        <v/>
      </c>
      <c r="J13">
        <f>IF(OR($I13=""),"",MAX(0,MIN(1,($I13-cfg_Liq_min)/(cfg_Liq_cap-cfg_Liq_min))))</f>
        <v/>
      </c>
      <c r="K13" s="17">
        <f>Fundamentals!P13</f>
        <v/>
      </c>
      <c r="L13" s="17">
        <f>Fundamentals!Q13</f>
        <v/>
      </c>
      <c r="M13">
        <f>IF(AND($K13="",$L13=""),"",MIN(1,IF($K13="",0,MIN($K13,cap_DivYield)/cap_DivYield)*0.5+IF($L13="",0,MIN($L13,cap_BuybackYield)/cap_BuybackYield)*0.5))</f>
        <v/>
      </c>
      <c r="N13">
        <f>IF($A13="","",AVERAGE(IF(Fundamentals!R13="",0,Fundamentals!R13),IF(Fundamentals!S13="",0,Fundamentals!S13),IF(Fundamentals!T13="",0,Fundamentals!T13)))</f>
        <v/>
      </c>
      <c r="O13">
        <f>IF($A13="","",MAX(0,MIN(1,$N13)))</f>
        <v/>
      </c>
      <c r="P13" s="18">
        <f>IF($A13="","",ROUND(w_PBR*$F13+w_NetCash*$H13+w_Liq*$J13+w_Return*$M13+w_GovAct*$O13,2))</f>
        <v/>
      </c>
      <c r="Q13" s="19">
        <f>IF($A13="","",$P13+(100000-ROW())/100000000)</f>
        <v/>
      </c>
      <c r="R13">
        <f>IF($A13="","",IF($D13&lt;&gt;1,"",RANK.EQ($Q13,$Q$3:$Q$202,0)))</f>
        <v/>
      </c>
      <c r="S13">
        <f>IF($A13="","",IF($D13=1,"",Derived!L13))</f>
        <v/>
      </c>
      <c r="T13" s="19">
        <f>IF($D13=1,$Q13,"")</f>
        <v/>
      </c>
    </row>
    <row r="14">
      <c r="A14">
        <f>Derived!A14</f>
        <v/>
      </c>
      <c r="B14">
        <f>Derived!B14</f>
        <v/>
      </c>
      <c r="C14">
        <f>Derived!C14</f>
        <v/>
      </c>
      <c r="D14">
        <f>Derived!K14</f>
        <v/>
      </c>
      <c r="E14" s="16">
        <f>Derived!F14</f>
        <v/>
      </c>
      <c r="F14">
        <f>IF(OR($E14=""),"",MAX(0,MIN(1,(cfg_PBR_max-MIN($E14,cfg_PBR_max))/(cfg_PBR_max-cfg_PBR_floor))))</f>
        <v/>
      </c>
      <c r="G14" s="17">
        <f>Derived!H14</f>
        <v/>
      </c>
      <c r="H14">
        <f>IF(OR($G14=""),"",MAX(0,MIN(1,MIN($G14,cap_NetCashPct)/cap_NetCashPct)))</f>
        <v/>
      </c>
      <c r="I14" s="15">
        <f>Derived!J14</f>
        <v/>
      </c>
      <c r="J14">
        <f>IF(OR($I14=""),"",MAX(0,MIN(1,($I14-cfg_Liq_min)/(cfg_Liq_cap-cfg_Liq_min))))</f>
        <v/>
      </c>
      <c r="K14" s="17">
        <f>Fundamentals!P14</f>
        <v/>
      </c>
      <c r="L14" s="17">
        <f>Fundamentals!Q14</f>
        <v/>
      </c>
      <c r="M14">
        <f>IF(AND($K14="",$L14=""),"",MIN(1,IF($K14="",0,MIN($K14,cap_DivYield)/cap_DivYield)*0.5+IF($L14="",0,MIN($L14,cap_BuybackYield)/cap_BuybackYield)*0.5))</f>
        <v/>
      </c>
      <c r="N14">
        <f>IF($A14="","",AVERAGE(IF(Fundamentals!R14="",0,Fundamentals!R14),IF(Fundamentals!S14="",0,Fundamentals!S14),IF(Fundamentals!T14="",0,Fundamentals!T14)))</f>
        <v/>
      </c>
      <c r="O14">
        <f>IF($A14="","",MAX(0,MIN(1,$N14)))</f>
        <v/>
      </c>
      <c r="P14" s="18">
        <f>IF($A14="","",ROUND(w_PBR*$F14+w_NetCash*$H14+w_Liq*$J14+w_Return*$M14+w_GovAct*$O14,2))</f>
        <v/>
      </c>
      <c r="Q14" s="19">
        <f>IF($A14="","",$P14+(100000-ROW())/100000000)</f>
        <v/>
      </c>
      <c r="R14">
        <f>IF($A14="","",IF($D14&lt;&gt;1,"",RANK.EQ($Q14,$Q$3:$Q$202,0)))</f>
        <v/>
      </c>
      <c r="S14">
        <f>IF($A14="","",IF($D14=1,"",Derived!L14))</f>
        <v/>
      </c>
      <c r="T14" s="19">
        <f>IF($D14=1,$Q14,"")</f>
        <v/>
      </c>
    </row>
    <row r="15">
      <c r="A15">
        <f>Derived!A15</f>
        <v/>
      </c>
      <c r="B15">
        <f>Derived!B15</f>
        <v/>
      </c>
      <c r="C15">
        <f>Derived!C15</f>
        <v/>
      </c>
      <c r="D15">
        <f>Derived!K15</f>
        <v/>
      </c>
      <c r="E15" s="16">
        <f>Derived!F15</f>
        <v/>
      </c>
      <c r="F15">
        <f>IF(OR($E15=""),"",MAX(0,MIN(1,(cfg_PBR_max-MIN($E15,cfg_PBR_max))/(cfg_PBR_max-cfg_PBR_floor))))</f>
        <v/>
      </c>
      <c r="G15" s="17">
        <f>Derived!H15</f>
        <v/>
      </c>
      <c r="H15">
        <f>IF(OR($G15=""),"",MAX(0,MIN(1,MIN($G15,cap_NetCashPct)/cap_NetCashPct)))</f>
        <v/>
      </c>
      <c r="I15" s="15">
        <f>Derived!J15</f>
        <v/>
      </c>
      <c r="J15">
        <f>IF(OR($I15=""),"",MAX(0,MIN(1,($I15-cfg_Liq_min)/(cfg_Liq_cap-cfg_Liq_min))))</f>
        <v/>
      </c>
      <c r="K15" s="17">
        <f>Fundamentals!P15</f>
        <v/>
      </c>
      <c r="L15" s="17">
        <f>Fundamentals!Q15</f>
        <v/>
      </c>
      <c r="M15">
        <f>IF(AND($K15="",$L15=""),"",MIN(1,IF($K15="",0,MIN($K15,cap_DivYield)/cap_DivYield)*0.5+IF($L15="",0,MIN($L15,cap_BuybackYield)/cap_BuybackYield)*0.5))</f>
        <v/>
      </c>
      <c r="N15">
        <f>IF($A15="","",AVERAGE(IF(Fundamentals!R15="",0,Fundamentals!R15),IF(Fundamentals!S15="",0,Fundamentals!S15),IF(Fundamentals!T15="",0,Fundamentals!T15)))</f>
        <v/>
      </c>
      <c r="O15">
        <f>IF($A15="","",MAX(0,MIN(1,$N15)))</f>
        <v/>
      </c>
      <c r="P15" s="18">
        <f>IF($A15="","",ROUND(w_PBR*$F15+w_NetCash*$H15+w_Liq*$J15+w_Return*$M15+w_GovAct*$O15,2))</f>
        <v/>
      </c>
      <c r="Q15" s="19">
        <f>IF($A15="","",$P15+(100000-ROW())/100000000)</f>
        <v/>
      </c>
      <c r="R15">
        <f>IF($A15="","",IF($D15&lt;&gt;1,"",RANK.EQ($Q15,$Q$3:$Q$202,0)))</f>
        <v/>
      </c>
      <c r="S15">
        <f>IF($A15="","",IF($D15=1,"",Derived!L15))</f>
        <v/>
      </c>
      <c r="T15" s="19">
        <f>IF($D15=1,$Q15,"")</f>
        <v/>
      </c>
    </row>
    <row r="16">
      <c r="A16">
        <f>Derived!A16</f>
        <v/>
      </c>
      <c r="B16">
        <f>Derived!B16</f>
        <v/>
      </c>
      <c r="C16">
        <f>Derived!C16</f>
        <v/>
      </c>
      <c r="D16">
        <f>Derived!K16</f>
        <v/>
      </c>
      <c r="E16" s="16">
        <f>Derived!F16</f>
        <v/>
      </c>
      <c r="F16">
        <f>IF(OR($E16=""),"",MAX(0,MIN(1,(cfg_PBR_max-MIN($E16,cfg_PBR_max))/(cfg_PBR_max-cfg_PBR_floor))))</f>
        <v/>
      </c>
      <c r="G16" s="17">
        <f>Derived!H16</f>
        <v/>
      </c>
      <c r="H16">
        <f>IF(OR($G16=""),"",MAX(0,MIN(1,MIN($G16,cap_NetCashPct)/cap_NetCashPct)))</f>
        <v/>
      </c>
      <c r="I16" s="15">
        <f>Derived!J16</f>
        <v/>
      </c>
      <c r="J16">
        <f>IF(OR($I16=""),"",MAX(0,MIN(1,($I16-cfg_Liq_min)/(cfg_Liq_cap-cfg_Liq_min))))</f>
        <v/>
      </c>
      <c r="K16" s="17">
        <f>Fundamentals!P16</f>
        <v/>
      </c>
      <c r="L16" s="17">
        <f>Fundamentals!Q16</f>
        <v/>
      </c>
      <c r="M16">
        <f>IF(AND($K16="",$L16=""),"",MIN(1,IF($K16="",0,MIN($K16,cap_DivYield)/cap_DivYield)*0.5+IF($L16="",0,MIN($L16,cap_BuybackYield)/cap_BuybackYield)*0.5))</f>
        <v/>
      </c>
      <c r="N16">
        <f>IF($A16="","",AVERAGE(IF(Fundamentals!R16="",0,Fundamentals!R16),IF(Fundamentals!S16="",0,Fundamentals!S16),IF(Fundamentals!T16="",0,Fundamentals!T16)))</f>
        <v/>
      </c>
      <c r="O16">
        <f>IF($A16="","",MAX(0,MIN(1,$N16)))</f>
        <v/>
      </c>
      <c r="P16" s="18">
        <f>IF($A16="","",ROUND(w_PBR*$F16+w_NetCash*$H16+w_Liq*$J16+w_Return*$M16+w_GovAct*$O16,2))</f>
        <v/>
      </c>
      <c r="Q16" s="19">
        <f>IF($A16="","",$P16+(100000-ROW())/100000000)</f>
        <v/>
      </c>
      <c r="R16">
        <f>IF($A16="","",IF($D16&lt;&gt;1,"",RANK.EQ($Q16,$Q$3:$Q$202,0)))</f>
        <v/>
      </c>
      <c r="S16">
        <f>IF($A16="","",IF($D16=1,"",Derived!L16))</f>
        <v/>
      </c>
      <c r="T16" s="19">
        <f>IF($D16=1,$Q16,"")</f>
        <v/>
      </c>
    </row>
    <row r="17">
      <c r="A17">
        <f>Derived!A17</f>
        <v/>
      </c>
      <c r="B17">
        <f>Derived!B17</f>
        <v/>
      </c>
      <c r="C17">
        <f>Derived!C17</f>
        <v/>
      </c>
      <c r="D17">
        <f>Derived!K17</f>
        <v/>
      </c>
      <c r="E17" s="16">
        <f>Derived!F17</f>
        <v/>
      </c>
      <c r="F17">
        <f>IF(OR($E17=""),"",MAX(0,MIN(1,(cfg_PBR_max-MIN($E17,cfg_PBR_max))/(cfg_PBR_max-cfg_PBR_floor))))</f>
        <v/>
      </c>
      <c r="G17" s="17">
        <f>Derived!H17</f>
        <v/>
      </c>
      <c r="H17">
        <f>IF(OR($G17=""),"",MAX(0,MIN(1,MIN($G17,cap_NetCashPct)/cap_NetCashPct)))</f>
        <v/>
      </c>
      <c r="I17" s="15">
        <f>Derived!J17</f>
        <v/>
      </c>
      <c r="J17">
        <f>IF(OR($I17=""),"",MAX(0,MIN(1,($I17-cfg_Liq_min)/(cfg_Liq_cap-cfg_Liq_min))))</f>
        <v/>
      </c>
      <c r="K17" s="17">
        <f>Fundamentals!P17</f>
        <v/>
      </c>
      <c r="L17" s="17">
        <f>Fundamentals!Q17</f>
        <v/>
      </c>
      <c r="M17">
        <f>IF(AND($K17="",$L17=""),"",MIN(1,IF($K17="",0,MIN($K17,cap_DivYield)/cap_DivYield)*0.5+IF($L17="",0,MIN($L17,cap_BuybackYield)/cap_BuybackYield)*0.5))</f>
        <v/>
      </c>
      <c r="N17">
        <f>IF($A17="","",AVERAGE(IF(Fundamentals!R17="",0,Fundamentals!R17),IF(Fundamentals!S17="",0,Fundamentals!S17),IF(Fundamentals!T17="",0,Fundamentals!T17)))</f>
        <v/>
      </c>
      <c r="O17">
        <f>IF($A17="","",MAX(0,MIN(1,$N17)))</f>
        <v/>
      </c>
      <c r="P17" s="18">
        <f>IF($A17="","",ROUND(w_PBR*$F17+w_NetCash*$H17+w_Liq*$J17+w_Return*$M17+w_GovAct*$O17,2))</f>
        <v/>
      </c>
      <c r="Q17" s="19">
        <f>IF($A17="","",$P17+(100000-ROW())/100000000)</f>
        <v/>
      </c>
      <c r="R17">
        <f>IF($A17="","",IF($D17&lt;&gt;1,"",RANK.EQ($Q17,$Q$3:$Q$202,0)))</f>
        <v/>
      </c>
      <c r="S17">
        <f>IF($A17="","",IF($D17=1,"",Derived!L17))</f>
        <v/>
      </c>
      <c r="T17" s="19">
        <f>IF($D17=1,$Q17,"")</f>
        <v/>
      </c>
    </row>
    <row r="18">
      <c r="A18">
        <f>Derived!A18</f>
        <v/>
      </c>
      <c r="B18">
        <f>Derived!B18</f>
        <v/>
      </c>
      <c r="C18">
        <f>Derived!C18</f>
        <v/>
      </c>
      <c r="D18">
        <f>Derived!K18</f>
        <v/>
      </c>
      <c r="E18" s="16">
        <f>Derived!F18</f>
        <v/>
      </c>
      <c r="F18">
        <f>IF(OR($E18=""),"",MAX(0,MIN(1,(cfg_PBR_max-MIN($E18,cfg_PBR_max))/(cfg_PBR_max-cfg_PBR_floor))))</f>
        <v/>
      </c>
      <c r="G18" s="17">
        <f>Derived!H18</f>
        <v/>
      </c>
      <c r="H18">
        <f>IF(OR($G18=""),"",MAX(0,MIN(1,MIN($G18,cap_NetCashPct)/cap_NetCashPct)))</f>
        <v/>
      </c>
      <c r="I18" s="15">
        <f>Derived!J18</f>
        <v/>
      </c>
      <c r="J18">
        <f>IF(OR($I18=""),"",MAX(0,MIN(1,($I18-cfg_Liq_min)/(cfg_Liq_cap-cfg_Liq_min))))</f>
        <v/>
      </c>
      <c r="K18" s="17">
        <f>Fundamentals!P18</f>
        <v/>
      </c>
      <c r="L18" s="17">
        <f>Fundamentals!Q18</f>
        <v/>
      </c>
      <c r="M18">
        <f>IF(AND($K18="",$L18=""),"",MIN(1,IF($K18="",0,MIN($K18,cap_DivYield)/cap_DivYield)*0.5+IF($L18="",0,MIN($L18,cap_BuybackYield)/cap_BuybackYield)*0.5))</f>
        <v/>
      </c>
      <c r="N18">
        <f>IF($A18="","",AVERAGE(IF(Fundamentals!R18="",0,Fundamentals!R18),IF(Fundamentals!S18="",0,Fundamentals!S18),IF(Fundamentals!T18="",0,Fundamentals!T18)))</f>
        <v/>
      </c>
      <c r="O18">
        <f>IF($A18="","",MAX(0,MIN(1,$N18)))</f>
        <v/>
      </c>
      <c r="P18" s="18">
        <f>IF($A18="","",ROUND(w_PBR*$F18+w_NetCash*$H18+w_Liq*$J18+w_Return*$M18+w_GovAct*$O18,2))</f>
        <v/>
      </c>
      <c r="Q18" s="19">
        <f>IF($A18="","",$P18+(100000-ROW())/100000000)</f>
        <v/>
      </c>
      <c r="R18">
        <f>IF($A18="","",IF($D18&lt;&gt;1,"",RANK.EQ($Q18,$Q$3:$Q$202,0)))</f>
        <v/>
      </c>
      <c r="S18">
        <f>IF($A18="","",IF($D18=1,"",Derived!L18))</f>
        <v/>
      </c>
      <c r="T18" s="19">
        <f>IF($D18=1,$Q18,"")</f>
        <v/>
      </c>
    </row>
    <row r="19">
      <c r="A19">
        <f>Derived!A19</f>
        <v/>
      </c>
      <c r="B19">
        <f>Derived!B19</f>
        <v/>
      </c>
      <c r="C19">
        <f>Derived!C19</f>
        <v/>
      </c>
      <c r="D19">
        <f>Derived!K19</f>
        <v/>
      </c>
      <c r="E19" s="16">
        <f>Derived!F19</f>
        <v/>
      </c>
      <c r="F19">
        <f>IF(OR($E19=""),"",MAX(0,MIN(1,(cfg_PBR_max-MIN($E19,cfg_PBR_max))/(cfg_PBR_max-cfg_PBR_floor))))</f>
        <v/>
      </c>
      <c r="G19" s="17">
        <f>Derived!H19</f>
        <v/>
      </c>
      <c r="H19">
        <f>IF(OR($G19=""),"",MAX(0,MIN(1,MIN($G19,cap_NetCashPct)/cap_NetCashPct)))</f>
        <v/>
      </c>
      <c r="I19" s="15">
        <f>Derived!J19</f>
        <v/>
      </c>
      <c r="J19">
        <f>IF(OR($I19=""),"",MAX(0,MIN(1,($I19-cfg_Liq_min)/(cfg_Liq_cap-cfg_Liq_min))))</f>
        <v/>
      </c>
      <c r="K19" s="17">
        <f>Fundamentals!P19</f>
        <v/>
      </c>
      <c r="L19" s="17">
        <f>Fundamentals!Q19</f>
        <v/>
      </c>
      <c r="M19">
        <f>IF(AND($K19="",$L19=""),"",MIN(1,IF($K19="",0,MIN($K19,cap_DivYield)/cap_DivYield)*0.5+IF($L19="",0,MIN($L19,cap_BuybackYield)/cap_BuybackYield)*0.5))</f>
        <v/>
      </c>
      <c r="N19">
        <f>IF($A19="","",AVERAGE(IF(Fundamentals!R19="",0,Fundamentals!R19),IF(Fundamentals!S19="",0,Fundamentals!S19),IF(Fundamentals!T19="",0,Fundamentals!T19)))</f>
        <v/>
      </c>
      <c r="O19">
        <f>IF($A19="","",MAX(0,MIN(1,$N19)))</f>
        <v/>
      </c>
      <c r="P19" s="18">
        <f>IF($A19="","",ROUND(w_PBR*$F19+w_NetCash*$H19+w_Liq*$J19+w_Return*$M19+w_GovAct*$O19,2))</f>
        <v/>
      </c>
      <c r="Q19" s="19">
        <f>IF($A19="","",$P19+(100000-ROW())/100000000)</f>
        <v/>
      </c>
      <c r="R19">
        <f>IF($A19="","",IF($D19&lt;&gt;1,"",RANK.EQ($Q19,$Q$3:$Q$202,0)))</f>
        <v/>
      </c>
      <c r="S19">
        <f>IF($A19="","",IF($D19=1,"",Derived!L19))</f>
        <v/>
      </c>
      <c r="T19" s="19">
        <f>IF($D19=1,$Q19,"")</f>
        <v/>
      </c>
    </row>
    <row r="20">
      <c r="A20">
        <f>Derived!A20</f>
        <v/>
      </c>
      <c r="B20">
        <f>Derived!B20</f>
        <v/>
      </c>
      <c r="C20">
        <f>Derived!C20</f>
        <v/>
      </c>
      <c r="D20">
        <f>Derived!K20</f>
        <v/>
      </c>
      <c r="E20" s="16">
        <f>Derived!F20</f>
        <v/>
      </c>
      <c r="F20">
        <f>IF(OR($E20=""),"",MAX(0,MIN(1,(cfg_PBR_max-MIN($E20,cfg_PBR_max))/(cfg_PBR_max-cfg_PBR_floor))))</f>
        <v/>
      </c>
      <c r="G20" s="17">
        <f>Derived!H20</f>
        <v/>
      </c>
      <c r="H20">
        <f>IF(OR($G20=""),"",MAX(0,MIN(1,MIN($G20,cap_NetCashPct)/cap_NetCashPct)))</f>
        <v/>
      </c>
      <c r="I20" s="15">
        <f>Derived!J20</f>
        <v/>
      </c>
      <c r="J20">
        <f>IF(OR($I20=""),"",MAX(0,MIN(1,($I20-cfg_Liq_min)/(cfg_Liq_cap-cfg_Liq_min))))</f>
        <v/>
      </c>
      <c r="K20" s="17">
        <f>Fundamentals!P20</f>
        <v/>
      </c>
      <c r="L20" s="17">
        <f>Fundamentals!Q20</f>
        <v/>
      </c>
      <c r="M20">
        <f>IF(AND($K20="",$L20=""),"",MIN(1,IF($K20="",0,MIN($K20,cap_DivYield)/cap_DivYield)*0.5+IF($L20="",0,MIN($L20,cap_BuybackYield)/cap_BuybackYield)*0.5))</f>
        <v/>
      </c>
      <c r="N20">
        <f>IF($A20="","",AVERAGE(IF(Fundamentals!R20="",0,Fundamentals!R20),IF(Fundamentals!S20="",0,Fundamentals!S20),IF(Fundamentals!T20="",0,Fundamentals!T20)))</f>
        <v/>
      </c>
      <c r="O20">
        <f>IF($A20="","",MAX(0,MIN(1,$N20)))</f>
        <v/>
      </c>
      <c r="P20" s="18">
        <f>IF($A20="","",ROUND(w_PBR*$F20+w_NetCash*$H20+w_Liq*$J20+w_Return*$M20+w_GovAct*$O20,2))</f>
        <v/>
      </c>
      <c r="Q20" s="19">
        <f>IF($A20="","",$P20+(100000-ROW())/100000000)</f>
        <v/>
      </c>
      <c r="R20">
        <f>IF($A20="","",IF($D20&lt;&gt;1,"",RANK.EQ($Q20,$Q$3:$Q$202,0)))</f>
        <v/>
      </c>
      <c r="S20">
        <f>IF($A20="","",IF($D20=1,"",Derived!L20))</f>
        <v/>
      </c>
      <c r="T20" s="19">
        <f>IF($D20=1,$Q20,"")</f>
        <v/>
      </c>
    </row>
    <row r="21">
      <c r="A21">
        <f>Derived!A21</f>
        <v/>
      </c>
      <c r="B21">
        <f>Derived!B21</f>
        <v/>
      </c>
      <c r="C21">
        <f>Derived!C21</f>
        <v/>
      </c>
      <c r="D21">
        <f>Derived!K21</f>
        <v/>
      </c>
      <c r="E21" s="16">
        <f>Derived!F21</f>
        <v/>
      </c>
      <c r="F21">
        <f>IF(OR($E21=""),"",MAX(0,MIN(1,(cfg_PBR_max-MIN($E21,cfg_PBR_max))/(cfg_PBR_max-cfg_PBR_floor))))</f>
        <v/>
      </c>
      <c r="G21" s="17">
        <f>Derived!H21</f>
        <v/>
      </c>
      <c r="H21">
        <f>IF(OR($G21=""),"",MAX(0,MIN(1,MIN($G21,cap_NetCashPct)/cap_NetCashPct)))</f>
        <v/>
      </c>
      <c r="I21" s="15">
        <f>Derived!J21</f>
        <v/>
      </c>
      <c r="J21">
        <f>IF(OR($I21=""),"",MAX(0,MIN(1,($I21-cfg_Liq_min)/(cfg_Liq_cap-cfg_Liq_min))))</f>
        <v/>
      </c>
      <c r="K21" s="17">
        <f>Fundamentals!P21</f>
        <v/>
      </c>
      <c r="L21" s="17">
        <f>Fundamentals!Q21</f>
        <v/>
      </c>
      <c r="M21">
        <f>IF(AND($K21="",$L21=""),"",MIN(1,IF($K21="",0,MIN($K21,cap_DivYield)/cap_DivYield)*0.5+IF($L21="",0,MIN($L21,cap_BuybackYield)/cap_BuybackYield)*0.5))</f>
        <v/>
      </c>
      <c r="N21">
        <f>IF($A21="","",AVERAGE(IF(Fundamentals!R21="",0,Fundamentals!R21),IF(Fundamentals!S21="",0,Fundamentals!S21),IF(Fundamentals!T21="",0,Fundamentals!T21)))</f>
        <v/>
      </c>
      <c r="O21">
        <f>IF($A21="","",MAX(0,MIN(1,$N21)))</f>
        <v/>
      </c>
      <c r="P21" s="18">
        <f>IF($A21="","",ROUND(w_PBR*$F21+w_NetCash*$H21+w_Liq*$J21+w_Return*$M21+w_GovAct*$O21,2))</f>
        <v/>
      </c>
      <c r="Q21" s="19">
        <f>IF($A21="","",$P21+(100000-ROW())/100000000)</f>
        <v/>
      </c>
      <c r="R21">
        <f>IF($A21="","",IF($D21&lt;&gt;1,"",RANK.EQ($Q21,$Q$3:$Q$202,0)))</f>
        <v/>
      </c>
      <c r="S21">
        <f>IF($A21="","",IF($D21=1,"",Derived!L21))</f>
        <v/>
      </c>
      <c r="T21" s="19">
        <f>IF($D21=1,$Q21,"")</f>
        <v/>
      </c>
    </row>
    <row r="22">
      <c r="A22">
        <f>Derived!A22</f>
        <v/>
      </c>
      <c r="B22">
        <f>Derived!B22</f>
        <v/>
      </c>
      <c r="C22">
        <f>Derived!C22</f>
        <v/>
      </c>
      <c r="D22">
        <f>Derived!K22</f>
        <v/>
      </c>
      <c r="E22" s="16">
        <f>Derived!F22</f>
        <v/>
      </c>
      <c r="F22">
        <f>IF(OR($E22=""),"",MAX(0,MIN(1,(cfg_PBR_max-MIN($E22,cfg_PBR_max))/(cfg_PBR_max-cfg_PBR_floor))))</f>
        <v/>
      </c>
      <c r="G22" s="17">
        <f>Derived!H22</f>
        <v/>
      </c>
      <c r="H22">
        <f>IF(OR($G22=""),"",MAX(0,MIN(1,MIN($G22,cap_NetCashPct)/cap_NetCashPct)))</f>
        <v/>
      </c>
      <c r="I22" s="15">
        <f>Derived!J22</f>
        <v/>
      </c>
      <c r="J22">
        <f>IF(OR($I22=""),"",MAX(0,MIN(1,($I22-cfg_Liq_min)/(cfg_Liq_cap-cfg_Liq_min))))</f>
        <v/>
      </c>
      <c r="K22" s="17">
        <f>Fundamentals!P22</f>
        <v/>
      </c>
      <c r="L22" s="17">
        <f>Fundamentals!Q22</f>
        <v/>
      </c>
      <c r="M22">
        <f>IF(AND($K22="",$L22=""),"",MIN(1,IF($K22="",0,MIN($K22,cap_DivYield)/cap_DivYield)*0.5+IF($L22="",0,MIN($L22,cap_BuybackYield)/cap_BuybackYield)*0.5))</f>
        <v/>
      </c>
      <c r="N22">
        <f>IF($A22="","",AVERAGE(IF(Fundamentals!R22="",0,Fundamentals!R22),IF(Fundamentals!S22="",0,Fundamentals!S22),IF(Fundamentals!T22="",0,Fundamentals!T22)))</f>
        <v/>
      </c>
      <c r="O22">
        <f>IF($A22="","",MAX(0,MIN(1,$N22)))</f>
        <v/>
      </c>
      <c r="P22" s="18">
        <f>IF($A22="","",ROUND(w_PBR*$F22+w_NetCash*$H22+w_Liq*$J22+w_Return*$M22+w_GovAct*$O22,2))</f>
        <v/>
      </c>
      <c r="Q22" s="19">
        <f>IF($A22="","",$P22+(100000-ROW())/100000000)</f>
        <v/>
      </c>
      <c r="R22">
        <f>IF($A22="","",IF($D22&lt;&gt;1,"",RANK.EQ($Q22,$Q$3:$Q$202,0)))</f>
        <v/>
      </c>
      <c r="S22">
        <f>IF($A22="","",IF($D22=1,"",Derived!L22))</f>
        <v/>
      </c>
      <c r="T22" s="19">
        <f>IF($D22=1,$Q22,"")</f>
        <v/>
      </c>
    </row>
    <row r="23">
      <c r="A23">
        <f>Derived!A23</f>
        <v/>
      </c>
      <c r="B23">
        <f>Derived!B23</f>
        <v/>
      </c>
      <c r="C23">
        <f>Derived!C23</f>
        <v/>
      </c>
      <c r="D23">
        <f>Derived!K23</f>
        <v/>
      </c>
      <c r="E23" s="16">
        <f>Derived!F23</f>
        <v/>
      </c>
      <c r="F23">
        <f>IF(OR($E23=""),"",MAX(0,MIN(1,(cfg_PBR_max-MIN($E23,cfg_PBR_max))/(cfg_PBR_max-cfg_PBR_floor))))</f>
        <v/>
      </c>
      <c r="G23" s="17">
        <f>Derived!H23</f>
        <v/>
      </c>
      <c r="H23">
        <f>IF(OR($G23=""),"",MAX(0,MIN(1,MIN($G23,cap_NetCashPct)/cap_NetCashPct)))</f>
        <v/>
      </c>
      <c r="I23" s="15">
        <f>Derived!J23</f>
        <v/>
      </c>
      <c r="J23">
        <f>IF(OR($I23=""),"",MAX(0,MIN(1,($I23-cfg_Liq_min)/(cfg_Liq_cap-cfg_Liq_min))))</f>
        <v/>
      </c>
      <c r="K23" s="17">
        <f>Fundamentals!P23</f>
        <v/>
      </c>
      <c r="L23" s="17">
        <f>Fundamentals!Q23</f>
        <v/>
      </c>
      <c r="M23">
        <f>IF(AND($K23="",$L23=""),"",MIN(1,IF($K23="",0,MIN($K23,cap_DivYield)/cap_DivYield)*0.5+IF($L23="",0,MIN($L23,cap_BuybackYield)/cap_BuybackYield)*0.5))</f>
        <v/>
      </c>
      <c r="N23">
        <f>IF($A23="","",AVERAGE(IF(Fundamentals!R23="",0,Fundamentals!R23),IF(Fundamentals!S23="",0,Fundamentals!S23),IF(Fundamentals!T23="",0,Fundamentals!T23)))</f>
        <v/>
      </c>
      <c r="O23">
        <f>IF($A23="","",MAX(0,MIN(1,$N23)))</f>
        <v/>
      </c>
      <c r="P23" s="18">
        <f>IF($A23="","",ROUND(w_PBR*$F23+w_NetCash*$H23+w_Liq*$J23+w_Return*$M23+w_GovAct*$O23,2))</f>
        <v/>
      </c>
      <c r="Q23" s="19">
        <f>IF($A23="","",$P23+(100000-ROW())/100000000)</f>
        <v/>
      </c>
      <c r="R23">
        <f>IF($A23="","",IF($D23&lt;&gt;1,"",RANK.EQ($Q23,$Q$3:$Q$202,0)))</f>
        <v/>
      </c>
      <c r="S23">
        <f>IF($A23="","",IF($D23=1,"",Derived!L23))</f>
        <v/>
      </c>
      <c r="T23" s="19">
        <f>IF($D23=1,$Q23,"")</f>
        <v/>
      </c>
    </row>
    <row r="24">
      <c r="A24">
        <f>Derived!A24</f>
        <v/>
      </c>
      <c r="B24">
        <f>Derived!B24</f>
        <v/>
      </c>
      <c r="C24">
        <f>Derived!C24</f>
        <v/>
      </c>
      <c r="D24">
        <f>Derived!K24</f>
        <v/>
      </c>
      <c r="E24" s="16">
        <f>Derived!F24</f>
        <v/>
      </c>
      <c r="F24">
        <f>IF(OR($E24=""),"",MAX(0,MIN(1,(cfg_PBR_max-MIN($E24,cfg_PBR_max))/(cfg_PBR_max-cfg_PBR_floor))))</f>
        <v/>
      </c>
      <c r="G24" s="17">
        <f>Derived!H24</f>
        <v/>
      </c>
      <c r="H24">
        <f>IF(OR($G24=""),"",MAX(0,MIN(1,MIN($G24,cap_NetCashPct)/cap_NetCashPct)))</f>
        <v/>
      </c>
      <c r="I24" s="15">
        <f>Derived!J24</f>
        <v/>
      </c>
      <c r="J24">
        <f>IF(OR($I24=""),"",MAX(0,MIN(1,($I24-cfg_Liq_min)/(cfg_Liq_cap-cfg_Liq_min))))</f>
        <v/>
      </c>
      <c r="K24" s="17">
        <f>Fundamentals!P24</f>
        <v/>
      </c>
      <c r="L24" s="17">
        <f>Fundamentals!Q24</f>
        <v/>
      </c>
      <c r="M24">
        <f>IF(AND($K24="",$L24=""),"",MIN(1,IF($K24="",0,MIN($K24,cap_DivYield)/cap_DivYield)*0.5+IF($L24="",0,MIN($L24,cap_BuybackYield)/cap_BuybackYield)*0.5))</f>
        <v/>
      </c>
      <c r="N24">
        <f>IF($A24="","",AVERAGE(IF(Fundamentals!R24="",0,Fundamentals!R24),IF(Fundamentals!S24="",0,Fundamentals!S24),IF(Fundamentals!T24="",0,Fundamentals!T24)))</f>
        <v/>
      </c>
      <c r="O24">
        <f>IF($A24="","",MAX(0,MIN(1,$N24)))</f>
        <v/>
      </c>
      <c r="P24" s="18">
        <f>IF($A24="","",ROUND(w_PBR*$F24+w_NetCash*$H24+w_Liq*$J24+w_Return*$M24+w_GovAct*$O24,2))</f>
        <v/>
      </c>
      <c r="Q24" s="19">
        <f>IF($A24="","",$P24+(100000-ROW())/100000000)</f>
        <v/>
      </c>
      <c r="R24">
        <f>IF($A24="","",IF($D24&lt;&gt;1,"",RANK.EQ($Q24,$Q$3:$Q$202,0)))</f>
        <v/>
      </c>
      <c r="S24">
        <f>IF($A24="","",IF($D24=1,"",Derived!L24))</f>
        <v/>
      </c>
      <c r="T24" s="19">
        <f>IF($D24=1,$Q24,"")</f>
        <v/>
      </c>
    </row>
    <row r="25">
      <c r="A25">
        <f>Derived!A25</f>
        <v/>
      </c>
      <c r="B25">
        <f>Derived!B25</f>
        <v/>
      </c>
      <c r="C25">
        <f>Derived!C25</f>
        <v/>
      </c>
      <c r="D25">
        <f>Derived!K25</f>
        <v/>
      </c>
      <c r="E25" s="16">
        <f>Derived!F25</f>
        <v/>
      </c>
      <c r="F25">
        <f>IF(OR($E25=""),"",MAX(0,MIN(1,(cfg_PBR_max-MIN($E25,cfg_PBR_max))/(cfg_PBR_max-cfg_PBR_floor))))</f>
        <v/>
      </c>
      <c r="G25" s="17">
        <f>Derived!H25</f>
        <v/>
      </c>
      <c r="H25">
        <f>IF(OR($G25=""),"",MAX(0,MIN(1,MIN($G25,cap_NetCashPct)/cap_NetCashPct)))</f>
        <v/>
      </c>
      <c r="I25" s="15">
        <f>Derived!J25</f>
        <v/>
      </c>
      <c r="J25">
        <f>IF(OR($I25=""),"",MAX(0,MIN(1,($I25-cfg_Liq_min)/(cfg_Liq_cap-cfg_Liq_min))))</f>
        <v/>
      </c>
      <c r="K25" s="17">
        <f>Fundamentals!P25</f>
        <v/>
      </c>
      <c r="L25" s="17">
        <f>Fundamentals!Q25</f>
        <v/>
      </c>
      <c r="M25">
        <f>IF(AND($K25="",$L25=""),"",MIN(1,IF($K25="",0,MIN($K25,cap_DivYield)/cap_DivYield)*0.5+IF($L25="",0,MIN($L25,cap_BuybackYield)/cap_BuybackYield)*0.5))</f>
        <v/>
      </c>
      <c r="N25">
        <f>IF($A25="","",AVERAGE(IF(Fundamentals!R25="",0,Fundamentals!R25),IF(Fundamentals!S25="",0,Fundamentals!S25),IF(Fundamentals!T25="",0,Fundamentals!T25)))</f>
        <v/>
      </c>
      <c r="O25">
        <f>IF($A25="","",MAX(0,MIN(1,$N25)))</f>
        <v/>
      </c>
      <c r="P25" s="18">
        <f>IF($A25="","",ROUND(w_PBR*$F25+w_NetCash*$H25+w_Liq*$J25+w_Return*$M25+w_GovAct*$O25,2))</f>
        <v/>
      </c>
      <c r="Q25" s="19">
        <f>IF($A25="","",$P25+(100000-ROW())/100000000)</f>
        <v/>
      </c>
      <c r="R25">
        <f>IF($A25="","",IF($D25&lt;&gt;1,"",RANK.EQ($Q25,$Q$3:$Q$202,0)))</f>
        <v/>
      </c>
      <c r="S25">
        <f>IF($A25="","",IF($D25=1,"",Derived!L25))</f>
        <v/>
      </c>
      <c r="T25" s="19">
        <f>IF($D25=1,$Q25,"")</f>
        <v/>
      </c>
    </row>
    <row r="26">
      <c r="A26">
        <f>Derived!A26</f>
        <v/>
      </c>
      <c r="B26">
        <f>Derived!B26</f>
        <v/>
      </c>
      <c r="C26">
        <f>Derived!C26</f>
        <v/>
      </c>
      <c r="D26">
        <f>Derived!K26</f>
        <v/>
      </c>
      <c r="E26" s="16">
        <f>Derived!F26</f>
        <v/>
      </c>
      <c r="F26">
        <f>IF(OR($E26=""),"",MAX(0,MIN(1,(cfg_PBR_max-MIN($E26,cfg_PBR_max))/(cfg_PBR_max-cfg_PBR_floor))))</f>
        <v/>
      </c>
      <c r="G26" s="17">
        <f>Derived!H26</f>
        <v/>
      </c>
      <c r="H26">
        <f>IF(OR($G26=""),"",MAX(0,MIN(1,MIN($G26,cap_NetCashPct)/cap_NetCashPct)))</f>
        <v/>
      </c>
      <c r="I26" s="15">
        <f>Derived!J26</f>
        <v/>
      </c>
      <c r="J26">
        <f>IF(OR($I26=""),"",MAX(0,MIN(1,($I26-cfg_Liq_min)/(cfg_Liq_cap-cfg_Liq_min))))</f>
        <v/>
      </c>
      <c r="K26" s="17">
        <f>Fundamentals!P26</f>
        <v/>
      </c>
      <c r="L26" s="17">
        <f>Fundamentals!Q26</f>
        <v/>
      </c>
      <c r="M26">
        <f>IF(AND($K26="",$L26=""),"",MIN(1,IF($K26="",0,MIN($K26,cap_DivYield)/cap_DivYield)*0.5+IF($L26="",0,MIN($L26,cap_BuybackYield)/cap_BuybackYield)*0.5))</f>
        <v/>
      </c>
      <c r="N26">
        <f>IF($A26="","",AVERAGE(IF(Fundamentals!R26="",0,Fundamentals!R26),IF(Fundamentals!S26="",0,Fundamentals!S26),IF(Fundamentals!T26="",0,Fundamentals!T26)))</f>
        <v/>
      </c>
      <c r="O26">
        <f>IF($A26="","",MAX(0,MIN(1,$N26)))</f>
        <v/>
      </c>
      <c r="P26" s="18">
        <f>IF($A26="","",ROUND(w_PBR*$F26+w_NetCash*$H26+w_Liq*$J26+w_Return*$M26+w_GovAct*$O26,2))</f>
        <v/>
      </c>
      <c r="Q26" s="19">
        <f>IF($A26="","",$P26+(100000-ROW())/100000000)</f>
        <v/>
      </c>
      <c r="R26">
        <f>IF($A26="","",IF($D26&lt;&gt;1,"",RANK.EQ($Q26,$Q$3:$Q$202,0)))</f>
        <v/>
      </c>
      <c r="S26">
        <f>IF($A26="","",IF($D26=1,"",Derived!L26))</f>
        <v/>
      </c>
      <c r="T26" s="19">
        <f>IF($D26=1,$Q26,"")</f>
        <v/>
      </c>
    </row>
    <row r="27">
      <c r="A27">
        <f>Derived!A27</f>
        <v/>
      </c>
      <c r="B27">
        <f>Derived!B27</f>
        <v/>
      </c>
      <c r="C27">
        <f>Derived!C27</f>
        <v/>
      </c>
      <c r="D27">
        <f>Derived!K27</f>
        <v/>
      </c>
      <c r="E27" s="16">
        <f>Derived!F27</f>
        <v/>
      </c>
      <c r="F27">
        <f>IF(OR($E27=""),"",MAX(0,MIN(1,(cfg_PBR_max-MIN($E27,cfg_PBR_max))/(cfg_PBR_max-cfg_PBR_floor))))</f>
        <v/>
      </c>
      <c r="G27" s="17">
        <f>Derived!H27</f>
        <v/>
      </c>
      <c r="H27">
        <f>IF(OR($G27=""),"",MAX(0,MIN(1,MIN($G27,cap_NetCashPct)/cap_NetCashPct)))</f>
        <v/>
      </c>
      <c r="I27" s="15">
        <f>Derived!J27</f>
        <v/>
      </c>
      <c r="J27">
        <f>IF(OR($I27=""),"",MAX(0,MIN(1,($I27-cfg_Liq_min)/(cfg_Liq_cap-cfg_Liq_min))))</f>
        <v/>
      </c>
      <c r="K27" s="17">
        <f>Fundamentals!P27</f>
        <v/>
      </c>
      <c r="L27" s="17">
        <f>Fundamentals!Q27</f>
        <v/>
      </c>
      <c r="M27">
        <f>IF(AND($K27="",$L27=""),"",MIN(1,IF($K27="",0,MIN($K27,cap_DivYield)/cap_DivYield)*0.5+IF($L27="",0,MIN($L27,cap_BuybackYield)/cap_BuybackYield)*0.5))</f>
        <v/>
      </c>
      <c r="N27">
        <f>IF($A27="","",AVERAGE(IF(Fundamentals!R27="",0,Fundamentals!R27),IF(Fundamentals!S27="",0,Fundamentals!S27),IF(Fundamentals!T27="",0,Fundamentals!T27)))</f>
        <v/>
      </c>
      <c r="O27">
        <f>IF($A27="","",MAX(0,MIN(1,$N27)))</f>
        <v/>
      </c>
      <c r="P27" s="18">
        <f>IF($A27="","",ROUND(w_PBR*$F27+w_NetCash*$H27+w_Liq*$J27+w_Return*$M27+w_GovAct*$O27,2))</f>
        <v/>
      </c>
      <c r="Q27" s="19">
        <f>IF($A27="","",$P27+(100000-ROW())/100000000)</f>
        <v/>
      </c>
      <c r="R27">
        <f>IF($A27="","",IF($D27&lt;&gt;1,"",RANK.EQ($Q27,$Q$3:$Q$202,0)))</f>
        <v/>
      </c>
      <c r="S27">
        <f>IF($A27="","",IF($D27=1,"",Derived!L27))</f>
        <v/>
      </c>
      <c r="T27" s="19">
        <f>IF($D27=1,$Q27,"")</f>
        <v/>
      </c>
    </row>
    <row r="28">
      <c r="A28">
        <f>Derived!A28</f>
        <v/>
      </c>
      <c r="B28">
        <f>Derived!B28</f>
        <v/>
      </c>
      <c r="C28">
        <f>Derived!C28</f>
        <v/>
      </c>
      <c r="D28">
        <f>Derived!K28</f>
        <v/>
      </c>
      <c r="E28" s="16">
        <f>Derived!F28</f>
        <v/>
      </c>
      <c r="F28">
        <f>IF(OR($E28=""),"",MAX(0,MIN(1,(cfg_PBR_max-MIN($E28,cfg_PBR_max))/(cfg_PBR_max-cfg_PBR_floor))))</f>
        <v/>
      </c>
      <c r="G28" s="17">
        <f>Derived!H28</f>
        <v/>
      </c>
      <c r="H28">
        <f>IF(OR($G28=""),"",MAX(0,MIN(1,MIN($G28,cap_NetCashPct)/cap_NetCashPct)))</f>
        <v/>
      </c>
      <c r="I28" s="15">
        <f>Derived!J28</f>
        <v/>
      </c>
      <c r="J28">
        <f>IF(OR($I28=""),"",MAX(0,MIN(1,($I28-cfg_Liq_min)/(cfg_Liq_cap-cfg_Liq_min))))</f>
        <v/>
      </c>
      <c r="K28" s="17">
        <f>Fundamentals!P28</f>
        <v/>
      </c>
      <c r="L28" s="17">
        <f>Fundamentals!Q28</f>
        <v/>
      </c>
      <c r="M28">
        <f>IF(AND($K28="",$L28=""),"",MIN(1,IF($K28="",0,MIN($K28,cap_DivYield)/cap_DivYield)*0.5+IF($L28="",0,MIN($L28,cap_BuybackYield)/cap_BuybackYield)*0.5))</f>
        <v/>
      </c>
      <c r="N28">
        <f>IF($A28="","",AVERAGE(IF(Fundamentals!R28="",0,Fundamentals!R28),IF(Fundamentals!S28="",0,Fundamentals!S28),IF(Fundamentals!T28="",0,Fundamentals!T28)))</f>
        <v/>
      </c>
      <c r="O28">
        <f>IF($A28="","",MAX(0,MIN(1,$N28)))</f>
        <v/>
      </c>
      <c r="P28" s="18">
        <f>IF($A28="","",ROUND(w_PBR*$F28+w_NetCash*$H28+w_Liq*$J28+w_Return*$M28+w_GovAct*$O28,2))</f>
        <v/>
      </c>
      <c r="Q28" s="19">
        <f>IF($A28="","",$P28+(100000-ROW())/100000000)</f>
        <v/>
      </c>
      <c r="R28">
        <f>IF($A28="","",IF($D28&lt;&gt;1,"",RANK.EQ($Q28,$Q$3:$Q$202,0)))</f>
        <v/>
      </c>
      <c r="S28">
        <f>IF($A28="","",IF($D28=1,"",Derived!L28))</f>
        <v/>
      </c>
      <c r="T28" s="19">
        <f>IF($D28=1,$Q28,"")</f>
        <v/>
      </c>
    </row>
    <row r="29">
      <c r="A29">
        <f>Derived!A29</f>
        <v/>
      </c>
      <c r="B29">
        <f>Derived!B29</f>
        <v/>
      </c>
      <c r="C29">
        <f>Derived!C29</f>
        <v/>
      </c>
      <c r="D29">
        <f>Derived!K29</f>
        <v/>
      </c>
      <c r="E29" s="16">
        <f>Derived!F29</f>
        <v/>
      </c>
      <c r="F29">
        <f>IF(OR($E29=""),"",MAX(0,MIN(1,(cfg_PBR_max-MIN($E29,cfg_PBR_max))/(cfg_PBR_max-cfg_PBR_floor))))</f>
        <v/>
      </c>
      <c r="G29" s="17">
        <f>Derived!H29</f>
        <v/>
      </c>
      <c r="H29">
        <f>IF(OR($G29=""),"",MAX(0,MIN(1,MIN($G29,cap_NetCashPct)/cap_NetCashPct)))</f>
        <v/>
      </c>
      <c r="I29" s="15">
        <f>Derived!J29</f>
        <v/>
      </c>
      <c r="J29">
        <f>IF(OR($I29=""),"",MAX(0,MIN(1,($I29-cfg_Liq_min)/(cfg_Liq_cap-cfg_Liq_min))))</f>
        <v/>
      </c>
      <c r="K29" s="17">
        <f>Fundamentals!P29</f>
        <v/>
      </c>
      <c r="L29" s="17">
        <f>Fundamentals!Q29</f>
        <v/>
      </c>
      <c r="M29">
        <f>IF(AND($K29="",$L29=""),"",MIN(1,IF($K29="",0,MIN($K29,cap_DivYield)/cap_DivYield)*0.5+IF($L29="",0,MIN($L29,cap_BuybackYield)/cap_BuybackYield)*0.5))</f>
        <v/>
      </c>
      <c r="N29">
        <f>IF($A29="","",AVERAGE(IF(Fundamentals!R29="",0,Fundamentals!R29),IF(Fundamentals!S29="",0,Fundamentals!S29),IF(Fundamentals!T29="",0,Fundamentals!T29)))</f>
        <v/>
      </c>
      <c r="O29">
        <f>IF($A29="","",MAX(0,MIN(1,$N29)))</f>
        <v/>
      </c>
      <c r="P29" s="18">
        <f>IF($A29="","",ROUND(w_PBR*$F29+w_NetCash*$H29+w_Liq*$J29+w_Return*$M29+w_GovAct*$O29,2))</f>
        <v/>
      </c>
      <c r="Q29" s="19">
        <f>IF($A29="","",$P29+(100000-ROW())/100000000)</f>
        <v/>
      </c>
      <c r="R29">
        <f>IF($A29="","",IF($D29&lt;&gt;1,"",RANK.EQ($Q29,$Q$3:$Q$202,0)))</f>
        <v/>
      </c>
      <c r="S29">
        <f>IF($A29="","",IF($D29=1,"",Derived!L29))</f>
        <v/>
      </c>
      <c r="T29" s="19">
        <f>IF($D29=1,$Q29,"")</f>
        <v/>
      </c>
    </row>
    <row r="30">
      <c r="A30">
        <f>Derived!A30</f>
        <v/>
      </c>
      <c r="B30">
        <f>Derived!B30</f>
        <v/>
      </c>
      <c r="C30">
        <f>Derived!C30</f>
        <v/>
      </c>
      <c r="D30">
        <f>Derived!K30</f>
        <v/>
      </c>
      <c r="E30" s="16">
        <f>Derived!F30</f>
        <v/>
      </c>
      <c r="F30">
        <f>IF(OR($E30=""),"",MAX(0,MIN(1,(cfg_PBR_max-MIN($E30,cfg_PBR_max))/(cfg_PBR_max-cfg_PBR_floor))))</f>
        <v/>
      </c>
      <c r="G30" s="17">
        <f>Derived!H30</f>
        <v/>
      </c>
      <c r="H30">
        <f>IF(OR($G30=""),"",MAX(0,MIN(1,MIN($G30,cap_NetCashPct)/cap_NetCashPct)))</f>
        <v/>
      </c>
      <c r="I30" s="15">
        <f>Derived!J30</f>
        <v/>
      </c>
      <c r="J30">
        <f>IF(OR($I30=""),"",MAX(0,MIN(1,($I30-cfg_Liq_min)/(cfg_Liq_cap-cfg_Liq_min))))</f>
        <v/>
      </c>
      <c r="K30" s="17">
        <f>Fundamentals!P30</f>
        <v/>
      </c>
      <c r="L30" s="17">
        <f>Fundamentals!Q30</f>
        <v/>
      </c>
      <c r="M30">
        <f>IF(AND($K30="",$L30=""),"",MIN(1,IF($K30="",0,MIN($K30,cap_DivYield)/cap_DivYield)*0.5+IF($L30="",0,MIN($L30,cap_BuybackYield)/cap_BuybackYield)*0.5))</f>
        <v/>
      </c>
      <c r="N30">
        <f>IF($A30="","",AVERAGE(IF(Fundamentals!R30="",0,Fundamentals!R30),IF(Fundamentals!S30="",0,Fundamentals!S30),IF(Fundamentals!T30="",0,Fundamentals!T30)))</f>
        <v/>
      </c>
      <c r="O30">
        <f>IF($A30="","",MAX(0,MIN(1,$N30)))</f>
        <v/>
      </c>
      <c r="P30" s="18">
        <f>IF($A30="","",ROUND(w_PBR*$F30+w_NetCash*$H30+w_Liq*$J30+w_Return*$M30+w_GovAct*$O30,2))</f>
        <v/>
      </c>
      <c r="Q30" s="19">
        <f>IF($A30="","",$P30+(100000-ROW())/100000000)</f>
        <v/>
      </c>
      <c r="R30">
        <f>IF($A30="","",IF($D30&lt;&gt;1,"",RANK.EQ($Q30,$Q$3:$Q$202,0)))</f>
        <v/>
      </c>
      <c r="S30">
        <f>IF($A30="","",IF($D30=1,"",Derived!L30))</f>
        <v/>
      </c>
      <c r="T30" s="19">
        <f>IF($D30=1,$Q30,"")</f>
        <v/>
      </c>
    </row>
    <row r="31">
      <c r="A31">
        <f>Derived!A31</f>
        <v/>
      </c>
      <c r="B31">
        <f>Derived!B31</f>
        <v/>
      </c>
      <c r="C31">
        <f>Derived!C31</f>
        <v/>
      </c>
      <c r="D31">
        <f>Derived!K31</f>
        <v/>
      </c>
      <c r="E31" s="16">
        <f>Derived!F31</f>
        <v/>
      </c>
      <c r="F31">
        <f>IF(OR($E31=""),"",MAX(0,MIN(1,(cfg_PBR_max-MIN($E31,cfg_PBR_max))/(cfg_PBR_max-cfg_PBR_floor))))</f>
        <v/>
      </c>
      <c r="G31" s="17">
        <f>Derived!H31</f>
        <v/>
      </c>
      <c r="H31">
        <f>IF(OR($G31=""),"",MAX(0,MIN(1,MIN($G31,cap_NetCashPct)/cap_NetCashPct)))</f>
        <v/>
      </c>
      <c r="I31" s="15">
        <f>Derived!J31</f>
        <v/>
      </c>
      <c r="J31">
        <f>IF(OR($I31=""),"",MAX(0,MIN(1,($I31-cfg_Liq_min)/(cfg_Liq_cap-cfg_Liq_min))))</f>
        <v/>
      </c>
      <c r="K31" s="17">
        <f>Fundamentals!P31</f>
        <v/>
      </c>
      <c r="L31" s="17">
        <f>Fundamentals!Q31</f>
        <v/>
      </c>
      <c r="M31">
        <f>IF(AND($K31="",$L31=""),"",MIN(1,IF($K31="",0,MIN($K31,cap_DivYield)/cap_DivYield)*0.5+IF($L31="",0,MIN($L31,cap_BuybackYield)/cap_BuybackYield)*0.5))</f>
        <v/>
      </c>
      <c r="N31">
        <f>IF($A31="","",AVERAGE(IF(Fundamentals!R31="",0,Fundamentals!R31),IF(Fundamentals!S31="",0,Fundamentals!S31),IF(Fundamentals!T31="",0,Fundamentals!T31)))</f>
        <v/>
      </c>
      <c r="O31">
        <f>IF($A31="","",MAX(0,MIN(1,$N31)))</f>
        <v/>
      </c>
      <c r="P31" s="18">
        <f>IF($A31="","",ROUND(w_PBR*$F31+w_NetCash*$H31+w_Liq*$J31+w_Return*$M31+w_GovAct*$O31,2))</f>
        <v/>
      </c>
      <c r="Q31" s="19">
        <f>IF($A31="","",$P31+(100000-ROW())/100000000)</f>
        <v/>
      </c>
      <c r="R31">
        <f>IF($A31="","",IF($D31&lt;&gt;1,"",RANK.EQ($Q31,$Q$3:$Q$202,0)))</f>
        <v/>
      </c>
      <c r="S31">
        <f>IF($A31="","",IF($D31=1,"",Derived!L31))</f>
        <v/>
      </c>
      <c r="T31" s="19">
        <f>IF($D31=1,$Q31,"")</f>
        <v/>
      </c>
    </row>
    <row r="32">
      <c r="A32">
        <f>Derived!A32</f>
        <v/>
      </c>
      <c r="B32">
        <f>Derived!B32</f>
        <v/>
      </c>
      <c r="C32">
        <f>Derived!C32</f>
        <v/>
      </c>
      <c r="D32">
        <f>Derived!K32</f>
        <v/>
      </c>
      <c r="E32" s="16">
        <f>Derived!F32</f>
        <v/>
      </c>
      <c r="F32">
        <f>IF(OR($E32=""),"",MAX(0,MIN(1,(cfg_PBR_max-MIN($E32,cfg_PBR_max))/(cfg_PBR_max-cfg_PBR_floor))))</f>
        <v/>
      </c>
      <c r="G32" s="17">
        <f>Derived!H32</f>
        <v/>
      </c>
      <c r="H32">
        <f>IF(OR($G32=""),"",MAX(0,MIN(1,MIN($G32,cap_NetCashPct)/cap_NetCashPct)))</f>
        <v/>
      </c>
      <c r="I32" s="15">
        <f>Derived!J32</f>
        <v/>
      </c>
      <c r="J32">
        <f>IF(OR($I32=""),"",MAX(0,MIN(1,($I32-cfg_Liq_min)/(cfg_Liq_cap-cfg_Liq_min))))</f>
        <v/>
      </c>
      <c r="K32" s="17">
        <f>Fundamentals!P32</f>
        <v/>
      </c>
      <c r="L32" s="17">
        <f>Fundamentals!Q32</f>
        <v/>
      </c>
      <c r="M32">
        <f>IF(AND($K32="",$L32=""),"",MIN(1,IF($K32="",0,MIN($K32,cap_DivYield)/cap_DivYield)*0.5+IF($L32="",0,MIN($L32,cap_BuybackYield)/cap_BuybackYield)*0.5))</f>
        <v/>
      </c>
      <c r="N32">
        <f>IF($A32="","",AVERAGE(IF(Fundamentals!R32="",0,Fundamentals!R32),IF(Fundamentals!S32="",0,Fundamentals!S32),IF(Fundamentals!T32="",0,Fundamentals!T32)))</f>
        <v/>
      </c>
      <c r="O32">
        <f>IF($A32="","",MAX(0,MIN(1,$N32)))</f>
        <v/>
      </c>
      <c r="P32" s="18">
        <f>IF($A32="","",ROUND(w_PBR*$F32+w_NetCash*$H32+w_Liq*$J32+w_Return*$M32+w_GovAct*$O32,2))</f>
        <v/>
      </c>
      <c r="Q32" s="19">
        <f>IF($A32="","",$P32+(100000-ROW())/100000000)</f>
        <v/>
      </c>
      <c r="R32">
        <f>IF($A32="","",IF($D32&lt;&gt;1,"",RANK.EQ($Q32,$Q$3:$Q$202,0)))</f>
        <v/>
      </c>
      <c r="S32">
        <f>IF($A32="","",IF($D32=1,"",Derived!L32))</f>
        <v/>
      </c>
      <c r="T32" s="19">
        <f>IF($D32=1,$Q32,"")</f>
        <v/>
      </c>
    </row>
    <row r="33">
      <c r="A33">
        <f>Derived!A33</f>
        <v/>
      </c>
      <c r="B33">
        <f>Derived!B33</f>
        <v/>
      </c>
      <c r="C33">
        <f>Derived!C33</f>
        <v/>
      </c>
      <c r="D33">
        <f>Derived!K33</f>
        <v/>
      </c>
      <c r="E33" s="16">
        <f>Derived!F33</f>
        <v/>
      </c>
      <c r="F33">
        <f>IF(OR($E33=""),"",MAX(0,MIN(1,(cfg_PBR_max-MIN($E33,cfg_PBR_max))/(cfg_PBR_max-cfg_PBR_floor))))</f>
        <v/>
      </c>
      <c r="G33" s="17">
        <f>Derived!H33</f>
        <v/>
      </c>
      <c r="H33">
        <f>IF(OR($G33=""),"",MAX(0,MIN(1,MIN($G33,cap_NetCashPct)/cap_NetCashPct)))</f>
        <v/>
      </c>
      <c r="I33" s="15">
        <f>Derived!J33</f>
        <v/>
      </c>
      <c r="J33">
        <f>IF(OR($I33=""),"",MAX(0,MIN(1,($I33-cfg_Liq_min)/(cfg_Liq_cap-cfg_Liq_min))))</f>
        <v/>
      </c>
      <c r="K33" s="17">
        <f>Fundamentals!P33</f>
        <v/>
      </c>
      <c r="L33" s="17">
        <f>Fundamentals!Q33</f>
        <v/>
      </c>
      <c r="M33">
        <f>IF(AND($K33="",$L33=""),"",MIN(1,IF($K33="",0,MIN($K33,cap_DivYield)/cap_DivYield)*0.5+IF($L33="",0,MIN($L33,cap_BuybackYield)/cap_BuybackYield)*0.5))</f>
        <v/>
      </c>
      <c r="N33">
        <f>IF($A33="","",AVERAGE(IF(Fundamentals!R33="",0,Fundamentals!R33),IF(Fundamentals!S33="",0,Fundamentals!S33),IF(Fundamentals!T33="",0,Fundamentals!T33)))</f>
        <v/>
      </c>
      <c r="O33">
        <f>IF($A33="","",MAX(0,MIN(1,$N33)))</f>
        <v/>
      </c>
      <c r="P33" s="18">
        <f>IF($A33="","",ROUND(w_PBR*$F33+w_NetCash*$H33+w_Liq*$J33+w_Return*$M33+w_GovAct*$O33,2))</f>
        <v/>
      </c>
      <c r="Q33" s="19">
        <f>IF($A33="","",$P33+(100000-ROW())/100000000)</f>
        <v/>
      </c>
      <c r="R33">
        <f>IF($A33="","",IF($D33&lt;&gt;1,"",RANK.EQ($Q33,$Q$3:$Q$202,0)))</f>
        <v/>
      </c>
      <c r="S33">
        <f>IF($A33="","",IF($D33=1,"",Derived!L33))</f>
        <v/>
      </c>
      <c r="T33" s="19">
        <f>IF($D33=1,$Q33,"")</f>
        <v/>
      </c>
    </row>
    <row r="34">
      <c r="A34">
        <f>Derived!A34</f>
        <v/>
      </c>
      <c r="B34">
        <f>Derived!B34</f>
        <v/>
      </c>
      <c r="C34">
        <f>Derived!C34</f>
        <v/>
      </c>
      <c r="D34">
        <f>Derived!K34</f>
        <v/>
      </c>
      <c r="E34" s="16">
        <f>Derived!F34</f>
        <v/>
      </c>
      <c r="F34">
        <f>IF(OR($E34=""),"",MAX(0,MIN(1,(cfg_PBR_max-MIN($E34,cfg_PBR_max))/(cfg_PBR_max-cfg_PBR_floor))))</f>
        <v/>
      </c>
      <c r="G34" s="17">
        <f>Derived!H34</f>
        <v/>
      </c>
      <c r="H34">
        <f>IF(OR($G34=""),"",MAX(0,MIN(1,MIN($G34,cap_NetCashPct)/cap_NetCashPct)))</f>
        <v/>
      </c>
      <c r="I34" s="15">
        <f>Derived!J34</f>
        <v/>
      </c>
      <c r="J34">
        <f>IF(OR($I34=""),"",MAX(0,MIN(1,($I34-cfg_Liq_min)/(cfg_Liq_cap-cfg_Liq_min))))</f>
        <v/>
      </c>
      <c r="K34" s="17">
        <f>Fundamentals!P34</f>
        <v/>
      </c>
      <c r="L34" s="17">
        <f>Fundamentals!Q34</f>
        <v/>
      </c>
      <c r="M34">
        <f>IF(AND($K34="",$L34=""),"",MIN(1,IF($K34="",0,MIN($K34,cap_DivYield)/cap_DivYield)*0.5+IF($L34="",0,MIN($L34,cap_BuybackYield)/cap_BuybackYield)*0.5))</f>
        <v/>
      </c>
      <c r="N34">
        <f>IF($A34="","",AVERAGE(IF(Fundamentals!R34="",0,Fundamentals!R34),IF(Fundamentals!S34="",0,Fundamentals!S34),IF(Fundamentals!T34="",0,Fundamentals!T34)))</f>
        <v/>
      </c>
      <c r="O34">
        <f>IF($A34="","",MAX(0,MIN(1,$N34)))</f>
        <v/>
      </c>
      <c r="P34" s="18">
        <f>IF($A34="","",ROUND(w_PBR*$F34+w_NetCash*$H34+w_Liq*$J34+w_Return*$M34+w_GovAct*$O34,2))</f>
        <v/>
      </c>
      <c r="Q34" s="19">
        <f>IF($A34="","",$P34+(100000-ROW())/100000000)</f>
        <v/>
      </c>
      <c r="R34">
        <f>IF($A34="","",IF($D34&lt;&gt;1,"",RANK.EQ($Q34,$Q$3:$Q$202,0)))</f>
        <v/>
      </c>
      <c r="S34">
        <f>IF($A34="","",IF($D34=1,"",Derived!L34))</f>
        <v/>
      </c>
      <c r="T34" s="19">
        <f>IF($D34=1,$Q34,"")</f>
        <v/>
      </c>
    </row>
    <row r="35">
      <c r="A35">
        <f>Derived!A35</f>
        <v/>
      </c>
      <c r="B35">
        <f>Derived!B35</f>
        <v/>
      </c>
      <c r="C35">
        <f>Derived!C35</f>
        <v/>
      </c>
      <c r="D35">
        <f>Derived!K35</f>
        <v/>
      </c>
      <c r="E35" s="16">
        <f>Derived!F35</f>
        <v/>
      </c>
      <c r="F35">
        <f>IF(OR($E35=""),"",MAX(0,MIN(1,(cfg_PBR_max-MIN($E35,cfg_PBR_max))/(cfg_PBR_max-cfg_PBR_floor))))</f>
        <v/>
      </c>
      <c r="G35" s="17">
        <f>Derived!H35</f>
        <v/>
      </c>
      <c r="H35">
        <f>IF(OR($G35=""),"",MAX(0,MIN(1,MIN($G35,cap_NetCashPct)/cap_NetCashPct)))</f>
        <v/>
      </c>
      <c r="I35" s="15">
        <f>Derived!J35</f>
        <v/>
      </c>
      <c r="J35">
        <f>IF(OR($I35=""),"",MAX(0,MIN(1,($I35-cfg_Liq_min)/(cfg_Liq_cap-cfg_Liq_min))))</f>
        <v/>
      </c>
      <c r="K35" s="17">
        <f>Fundamentals!P35</f>
        <v/>
      </c>
      <c r="L35" s="17">
        <f>Fundamentals!Q35</f>
        <v/>
      </c>
      <c r="M35">
        <f>IF(AND($K35="",$L35=""),"",MIN(1,IF($K35="",0,MIN($K35,cap_DivYield)/cap_DivYield)*0.5+IF($L35="",0,MIN($L35,cap_BuybackYield)/cap_BuybackYield)*0.5))</f>
        <v/>
      </c>
      <c r="N35">
        <f>IF($A35="","",AVERAGE(IF(Fundamentals!R35="",0,Fundamentals!R35),IF(Fundamentals!S35="",0,Fundamentals!S35),IF(Fundamentals!T35="",0,Fundamentals!T35)))</f>
        <v/>
      </c>
      <c r="O35">
        <f>IF($A35="","",MAX(0,MIN(1,$N35)))</f>
        <v/>
      </c>
      <c r="P35" s="18">
        <f>IF($A35="","",ROUND(w_PBR*$F35+w_NetCash*$H35+w_Liq*$J35+w_Return*$M35+w_GovAct*$O35,2))</f>
        <v/>
      </c>
      <c r="Q35" s="19">
        <f>IF($A35="","",$P35+(100000-ROW())/100000000)</f>
        <v/>
      </c>
      <c r="R35">
        <f>IF($A35="","",IF($D35&lt;&gt;1,"",RANK.EQ($Q35,$Q$3:$Q$202,0)))</f>
        <v/>
      </c>
      <c r="S35">
        <f>IF($A35="","",IF($D35=1,"",Derived!L35))</f>
        <v/>
      </c>
      <c r="T35" s="19">
        <f>IF($D35=1,$Q35,"")</f>
        <v/>
      </c>
    </row>
    <row r="36">
      <c r="A36">
        <f>Derived!A36</f>
        <v/>
      </c>
      <c r="B36">
        <f>Derived!B36</f>
        <v/>
      </c>
      <c r="C36">
        <f>Derived!C36</f>
        <v/>
      </c>
      <c r="D36">
        <f>Derived!K36</f>
        <v/>
      </c>
      <c r="E36" s="16">
        <f>Derived!F36</f>
        <v/>
      </c>
      <c r="F36">
        <f>IF(OR($E36=""),"",MAX(0,MIN(1,(cfg_PBR_max-MIN($E36,cfg_PBR_max))/(cfg_PBR_max-cfg_PBR_floor))))</f>
        <v/>
      </c>
      <c r="G36" s="17">
        <f>Derived!H36</f>
        <v/>
      </c>
      <c r="H36">
        <f>IF(OR($G36=""),"",MAX(0,MIN(1,MIN($G36,cap_NetCashPct)/cap_NetCashPct)))</f>
        <v/>
      </c>
      <c r="I36" s="15">
        <f>Derived!J36</f>
        <v/>
      </c>
      <c r="J36">
        <f>IF(OR($I36=""),"",MAX(0,MIN(1,($I36-cfg_Liq_min)/(cfg_Liq_cap-cfg_Liq_min))))</f>
        <v/>
      </c>
      <c r="K36" s="17">
        <f>Fundamentals!P36</f>
        <v/>
      </c>
      <c r="L36" s="17">
        <f>Fundamentals!Q36</f>
        <v/>
      </c>
      <c r="M36">
        <f>IF(AND($K36="",$L36=""),"",MIN(1,IF($K36="",0,MIN($K36,cap_DivYield)/cap_DivYield)*0.5+IF($L36="",0,MIN($L36,cap_BuybackYield)/cap_BuybackYield)*0.5))</f>
        <v/>
      </c>
      <c r="N36">
        <f>IF($A36="","",AVERAGE(IF(Fundamentals!R36="",0,Fundamentals!R36),IF(Fundamentals!S36="",0,Fundamentals!S36),IF(Fundamentals!T36="",0,Fundamentals!T36)))</f>
        <v/>
      </c>
      <c r="O36">
        <f>IF($A36="","",MAX(0,MIN(1,$N36)))</f>
        <v/>
      </c>
      <c r="P36" s="18">
        <f>IF($A36="","",ROUND(w_PBR*$F36+w_NetCash*$H36+w_Liq*$J36+w_Return*$M36+w_GovAct*$O36,2))</f>
        <v/>
      </c>
      <c r="Q36" s="19">
        <f>IF($A36="","",$P36+(100000-ROW())/100000000)</f>
        <v/>
      </c>
      <c r="R36">
        <f>IF($A36="","",IF($D36&lt;&gt;1,"",RANK.EQ($Q36,$Q$3:$Q$202,0)))</f>
        <v/>
      </c>
      <c r="S36">
        <f>IF($A36="","",IF($D36=1,"",Derived!L36))</f>
        <v/>
      </c>
      <c r="T36" s="19">
        <f>IF($D36=1,$Q36,"")</f>
        <v/>
      </c>
    </row>
    <row r="37">
      <c r="A37">
        <f>Derived!A37</f>
        <v/>
      </c>
      <c r="B37">
        <f>Derived!B37</f>
        <v/>
      </c>
      <c r="C37">
        <f>Derived!C37</f>
        <v/>
      </c>
      <c r="D37">
        <f>Derived!K37</f>
        <v/>
      </c>
      <c r="E37" s="16">
        <f>Derived!F37</f>
        <v/>
      </c>
      <c r="F37">
        <f>IF(OR($E37=""),"",MAX(0,MIN(1,(cfg_PBR_max-MIN($E37,cfg_PBR_max))/(cfg_PBR_max-cfg_PBR_floor))))</f>
        <v/>
      </c>
      <c r="G37" s="17">
        <f>Derived!H37</f>
        <v/>
      </c>
      <c r="H37">
        <f>IF(OR($G37=""),"",MAX(0,MIN(1,MIN($G37,cap_NetCashPct)/cap_NetCashPct)))</f>
        <v/>
      </c>
      <c r="I37" s="15">
        <f>Derived!J37</f>
        <v/>
      </c>
      <c r="J37">
        <f>IF(OR($I37=""),"",MAX(0,MIN(1,($I37-cfg_Liq_min)/(cfg_Liq_cap-cfg_Liq_min))))</f>
        <v/>
      </c>
      <c r="K37" s="17">
        <f>Fundamentals!P37</f>
        <v/>
      </c>
      <c r="L37" s="17">
        <f>Fundamentals!Q37</f>
        <v/>
      </c>
      <c r="M37">
        <f>IF(AND($K37="",$L37=""),"",MIN(1,IF($K37="",0,MIN($K37,cap_DivYield)/cap_DivYield)*0.5+IF($L37="",0,MIN($L37,cap_BuybackYield)/cap_BuybackYield)*0.5))</f>
        <v/>
      </c>
      <c r="N37">
        <f>IF($A37="","",AVERAGE(IF(Fundamentals!R37="",0,Fundamentals!R37),IF(Fundamentals!S37="",0,Fundamentals!S37),IF(Fundamentals!T37="",0,Fundamentals!T37)))</f>
        <v/>
      </c>
      <c r="O37">
        <f>IF($A37="","",MAX(0,MIN(1,$N37)))</f>
        <v/>
      </c>
      <c r="P37" s="18">
        <f>IF($A37="","",ROUND(w_PBR*$F37+w_NetCash*$H37+w_Liq*$J37+w_Return*$M37+w_GovAct*$O37,2))</f>
        <v/>
      </c>
      <c r="Q37" s="19">
        <f>IF($A37="","",$P37+(100000-ROW())/100000000)</f>
        <v/>
      </c>
      <c r="R37">
        <f>IF($A37="","",IF($D37&lt;&gt;1,"",RANK.EQ($Q37,$Q$3:$Q$202,0)))</f>
        <v/>
      </c>
      <c r="S37">
        <f>IF($A37="","",IF($D37=1,"",Derived!L37))</f>
        <v/>
      </c>
      <c r="T37" s="19">
        <f>IF($D37=1,$Q37,"")</f>
        <v/>
      </c>
    </row>
    <row r="38">
      <c r="A38">
        <f>Derived!A38</f>
        <v/>
      </c>
      <c r="B38">
        <f>Derived!B38</f>
        <v/>
      </c>
      <c r="C38">
        <f>Derived!C38</f>
        <v/>
      </c>
      <c r="D38">
        <f>Derived!K38</f>
        <v/>
      </c>
      <c r="E38" s="16">
        <f>Derived!F38</f>
        <v/>
      </c>
      <c r="F38">
        <f>IF(OR($E38=""),"",MAX(0,MIN(1,(cfg_PBR_max-MIN($E38,cfg_PBR_max))/(cfg_PBR_max-cfg_PBR_floor))))</f>
        <v/>
      </c>
      <c r="G38" s="17">
        <f>Derived!H38</f>
        <v/>
      </c>
      <c r="H38">
        <f>IF(OR($G38=""),"",MAX(0,MIN(1,MIN($G38,cap_NetCashPct)/cap_NetCashPct)))</f>
        <v/>
      </c>
      <c r="I38" s="15">
        <f>Derived!J38</f>
        <v/>
      </c>
      <c r="J38">
        <f>IF(OR($I38=""),"",MAX(0,MIN(1,($I38-cfg_Liq_min)/(cfg_Liq_cap-cfg_Liq_min))))</f>
        <v/>
      </c>
      <c r="K38" s="17">
        <f>Fundamentals!P38</f>
        <v/>
      </c>
      <c r="L38" s="17">
        <f>Fundamentals!Q38</f>
        <v/>
      </c>
      <c r="M38">
        <f>IF(AND($K38="",$L38=""),"",MIN(1,IF($K38="",0,MIN($K38,cap_DivYield)/cap_DivYield)*0.5+IF($L38="",0,MIN($L38,cap_BuybackYield)/cap_BuybackYield)*0.5))</f>
        <v/>
      </c>
      <c r="N38">
        <f>IF($A38="","",AVERAGE(IF(Fundamentals!R38="",0,Fundamentals!R38),IF(Fundamentals!S38="",0,Fundamentals!S38),IF(Fundamentals!T38="",0,Fundamentals!T38)))</f>
        <v/>
      </c>
      <c r="O38">
        <f>IF($A38="","",MAX(0,MIN(1,$N38)))</f>
        <v/>
      </c>
      <c r="P38" s="18">
        <f>IF($A38="","",ROUND(w_PBR*$F38+w_NetCash*$H38+w_Liq*$J38+w_Return*$M38+w_GovAct*$O38,2))</f>
        <v/>
      </c>
      <c r="Q38" s="19">
        <f>IF($A38="","",$P38+(100000-ROW())/100000000)</f>
        <v/>
      </c>
      <c r="R38">
        <f>IF($A38="","",IF($D38&lt;&gt;1,"",RANK.EQ($Q38,$Q$3:$Q$202,0)))</f>
        <v/>
      </c>
      <c r="S38">
        <f>IF($A38="","",IF($D38=1,"",Derived!L38))</f>
        <v/>
      </c>
      <c r="T38" s="19">
        <f>IF($D38=1,$Q38,"")</f>
        <v/>
      </c>
    </row>
    <row r="39">
      <c r="A39">
        <f>Derived!A39</f>
        <v/>
      </c>
      <c r="B39">
        <f>Derived!B39</f>
        <v/>
      </c>
      <c r="C39">
        <f>Derived!C39</f>
        <v/>
      </c>
      <c r="D39">
        <f>Derived!K39</f>
        <v/>
      </c>
      <c r="E39" s="16">
        <f>Derived!F39</f>
        <v/>
      </c>
      <c r="F39">
        <f>IF(OR($E39=""),"",MAX(0,MIN(1,(cfg_PBR_max-MIN($E39,cfg_PBR_max))/(cfg_PBR_max-cfg_PBR_floor))))</f>
        <v/>
      </c>
      <c r="G39" s="17">
        <f>Derived!H39</f>
        <v/>
      </c>
      <c r="H39">
        <f>IF(OR($G39=""),"",MAX(0,MIN(1,MIN($G39,cap_NetCashPct)/cap_NetCashPct)))</f>
        <v/>
      </c>
      <c r="I39" s="15">
        <f>Derived!J39</f>
        <v/>
      </c>
      <c r="J39">
        <f>IF(OR($I39=""),"",MAX(0,MIN(1,($I39-cfg_Liq_min)/(cfg_Liq_cap-cfg_Liq_min))))</f>
        <v/>
      </c>
      <c r="K39" s="17">
        <f>Fundamentals!P39</f>
        <v/>
      </c>
      <c r="L39" s="17">
        <f>Fundamentals!Q39</f>
        <v/>
      </c>
      <c r="M39">
        <f>IF(AND($K39="",$L39=""),"",MIN(1,IF($K39="",0,MIN($K39,cap_DivYield)/cap_DivYield)*0.5+IF($L39="",0,MIN($L39,cap_BuybackYield)/cap_BuybackYield)*0.5))</f>
        <v/>
      </c>
      <c r="N39">
        <f>IF($A39="","",AVERAGE(IF(Fundamentals!R39="",0,Fundamentals!R39),IF(Fundamentals!S39="",0,Fundamentals!S39),IF(Fundamentals!T39="",0,Fundamentals!T39)))</f>
        <v/>
      </c>
      <c r="O39">
        <f>IF($A39="","",MAX(0,MIN(1,$N39)))</f>
        <v/>
      </c>
      <c r="P39" s="18">
        <f>IF($A39="","",ROUND(w_PBR*$F39+w_NetCash*$H39+w_Liq*$J39+w_Return*$M39+w_GovAct*$O39,2))</f>
        <v/>
      </c>
      <c r="Q39" s="19">
        <f>IF($A39="","",$P39+(100000-ROW())/100000000)</f>
        <v/>
      </c>
      <c r="R39">
        <f>IF($A39="","",IF($D39&lt;&gt;1,"",RANK.EQ($Q39,$Q$3:$Q$202,0)))</f>
        <v/>
      </c>
      <c r="S39">
        <f>IF($A39="","",IF($D39=1,"",Derived!L39))</f>
        <v/>
      </c>
      <c r="T39" s="19">
        <f>IF($D39=1,$Q39,"")</f>
        <v/>
      </c>
    </row>
    <row r="40">
      <c r="A40">
        <f>Derived!A40</f>
        <v/>
      </c>
      <c r="B40">
        <f>Derived!B40</f>
        <v/>
      </c>
      <c r="C40">
        <f>Derived!C40</f>
        <v/>
      </c>
      <c r="D40">
        <f>Derived!K40</f>
        <v/>
      </c>
      <c r="E40" s="16">
        <f>Derived!F40</f>
        <v/>
      </c>
      <c r="F40">
        <f>IF(OR($E40=""),"",MAX(0,MIN(1,(cfg_PBR_max-MIN($E40,cfg_PBR_max))/(cfg_PBR_max-cfg_PBR_floor))))</f>
        <v/>
      </c>
      <c r="G40" s="17">
        <f>Derived!H40</f>
        <v/>
      </c>
      <c r="H40">
        <f>IF(OR($G40=""),"",MAX(0,MIN(1,MIN($G40,cap_NetCashPct)/cap_NetCashPct)))</f>
        <v/>
      </c>
      <c r="I40" s="15">
        <f>Derived!J40</f>
        <v/>
      </c>
      <c r="J40">
        <f>IF(OR($I40=""),"",MAX(0,MIN(1,($I40-cfg_Liq_min)/(cfg_Liq_cap-cfg_Liq_min))))</f>
        <v/>
      </c>
      <c r="K40" s="17">
        <f>Fundamentals!P40</f>
        <v/>
      </c>
      <c r="L40" s="17">
        <f>Fundamentals!Q40</f>
        <v/>
      </c>
      <c r="M40">
        <f>IF(AND($K40="",$L40=""),"",MIN(1,IF($K40="",0,MIN($K40,cap_DivYield)/cap_DivYield)*0.5+IF($L40="",0,MIN($L40,cap_BuybackYield)/cap_BuybackYield)*0.5))</f>
        <v/>
      </c>
      <c r="N40">
        <f>IF($A40="","",AVERAGE(IF(Fundamentals!R40="",0,Fundamentals!R40),IF(Fundamentals!S40="",0,Fundamentals!S40),IF(Fundamentals!T40="",0,Fundamentals!T40)))</f>
        <v/>
      </c>
      <c r="O40">
        <f>IF($A40="","",MAX(0,MIN(1,$N40)))</f>
        <v/>
      </c>
      <c r="P40" s="18">
        <f>IF($A40="","",ROUND(w_PBR*$F40+w_NetCash*$H40+w_Liq*$J40+w_Return*$M40+w_GovAct*$O40,2))</f>
        <v/>
      </c>
      <c r="Q40" s="19">
        <f>IF($A40="","",$P40+(100000-ROW())/100000000)</f>
        <v/>
      </c>
      <c r="R40">
        <f>IF($A40="","",IF($D40&lt;&gt;1,"",RANK.EQ($Q40,$Q$3:$Q$202,0)))</f>
        <v/>
      </c>
      <c r="S40">
        <f>IF($A40="","",IF($D40=1,"",Derived!L40))</f>
        <v/>
      </c>
      <c r="T40" s="19">
        <f>IF($D40=1,$Q40,"")</f>
        <v/>
      </c>
    </row>
    <row r="41">
      <c r="A41">
        <f>Derived!A41</f>
        <v/>
      </c>
      <c r="B41">
        <f>Derived!B41</f>
        <v/>
      </c>
      <c r="C41">
        <f>Derived!C41</f>
        <v/>
      </c>
      <c r="D41">
        <f>Derived!K41</f>
        <v/>
      </c>
      <c r="E41" s="16">
        <f>Derived!F41</f>
        <v/>
      </c>
      <c r="F41">
        <f>IF(OR($E41=""),"",MAX(0,MIN(1,(cfg_PBR_max-MIN($E41,cfg_PBR_max))/(cfg_PBR_max-cfg_PBR_floor))))</f>
        <v/>
      </c>
      <c r="G41" s="17">
        <f>Derived!H41</f>
        <v/>
      </c>
      <c r="H41">
        <f>IF(OR($G41=""),"",MAX(0,MIN(1,MIN($G41,cap_NetCashPct)/cap_NetCashPct)))</f>
        <v/>
      </c>
      <c r="I41" s="15">
        <f>Derived!J41</f>
        <v/>
      </c>
      <c r="J41">
        <f>IF(OR($I41=""),"",MAX(0,MIN(1,($I41-cfg_Liq_min)/(cfg_Liq_cap-cfg_Liq_min))))</f>
        <v/>
      </c>
      <c r="K41" s="17">
        <f>Fundamentals!P41</f>
        <v/>
      </c>
      <c r="L41" s="17">
        <f>Fundamentals!Q41</f>
        <v/>
      </c>
      <c r="M41">
        <f>IF(AND($K41="",$L41=""),"",MIN(1,IF($K41="",0,MIN($K41,cap_DivYield)/cap_DivYield)*0.5+IF($L41="",0,MIN($L41,cap_BuybackYield)/cap_BuybackYield)*0.5))</f>
        <v/>
      </c>
      <c r="N41">
        <f>IF($A41="","",AVERAGE(IF(Fundamentals!R41="",0,Fundamentals!R41),IF(Fundamentals!S41="",0,Fundamentals!S41),IF(Fundamentals!T41="",0,Fundamentals!T41)))</f>
        <v/>
      </c>
      <c r="O41">
        <f>IF($A41="","",MAX(0,MIN(1,$N41)))</f>
        <v/>
      </c>
      <c r="P41" s="18">
        <f>IF($A41="","",ROUND(w_PBR*$F41+w_NetCash*$H41+w_Liq*$J41+w_Return*$M41+w_GovAct*$O41,2))</f>
        <v/>
      </c>
      <c r="Q41" s="19">
        <f>IF($A41="","",$P41+(100000-ROW())/100000000)</f>
        <v/>
      </c>
      <c r="R41">
        <f>IF($A41="","",IF($D41&lt;&gt;1,"",RANK.EQ($Q41,$Q$3:$Q$202,0)))</f>
        <v/>
      </c>
      <c r="S41">
        <f>IF($A41="","",IF($D41=1,"",Derived!L41))</f>
        <v/>
      </c>
      <c r="T41" s="19">
        <f>IF($D41=1,$Q41,"")</f>
        <v/>
      </c>
    </row>
    <row r="42">
      <c r="A42">
        <f>Derived!A42</f>
        <v/>
      </c>
      <c r="B42">
        <f>Derived!B42</f>
        <v/>
      </c>
      <c r="C42">
        <f>Derived!C42</f>
        <v/>
      </c>
      <c r="D42">
        <f>Derived!K42</f>
        <v/>
      </c>
      <c r="E42" s="16">
        <f>Derived!F42</f>
        <v/>
      </c>
      <c r="F42">
        <f>IF(OR($E42=""),"",MAX(0,MIN(1,(cfg_PBR_max-MIN($E42,cfg_PBR_max))/(cfg_PBR_max-cfg_PBR_floor))))</f>
        <v/>
      </c>
      <c r="G42" s="17">
        <f>Derived!H42</f>
        <v/>
      </c>
      <c r="H42">
        <f>IF(OR($G42=""),"",MAX(0,MIN(1,MIN($G42,cap_NetCashPct)/cap_NetCashPct)))</f>
        <v/>
      </c>
      <c r="I42" s="15">
        <f>Derived!J42</f>
        <v/>
      </c>
      <c r="J42">
        <f>IF(OR($I42=""),"",MAX(0,MIN(1,($I42-cfg_Liq_min)/(cfg_Liq_cap-cfg_Liq_min))))</f>
        <v/>
      </c>
      <c r="K42" s="17">
        <f>Fundamentals!P42</f>
        <v/>
      </c>
      <c r="L42" s="17">
        <f>Fundamentals!Q42</f>
        <v/>
      </c>
      <c r="M42">
        <f>IF(AND($K42="",$L42=""),"",MIN(1,IF($K42="",0,MIN($K42,cap_DivYield)/cap_DivYield)*0.5+IF($L42="",0,MIN($L42,cap_BuybackYield)/cap_BuybackYield)*0.5))</f>
        <v/>
      </c>
      <c r="N42">
        <f>IF($A42="","",AVERAGE(IF(Fundamentals!R42="",0,Fundamentals!R42),IF(Fundamentals!S42="",0,Fundamentals!S42),IF(Fundamentals!T42="",0,Fundamentals!T42)))</f>
        <v/>
      </c>
      <c r="O42">
        <f>IF($A42="","",MAX(0,MIN(1,$N42)))</f>
        <v/>
      </c>
      <c r="P42" s="18">
        <f>IF($A42="","",ROUND(w_PBR*$F42+w_NetCash*$H42+w_Liq*$J42+w_Return*$M42+w_GovAct*$O42,2))</f>
        <v/>
      </c>
      <c r="Q42" s="19">
        <f>IF($A42="","",$P42+(100000-ROW())/100000000)</f>
        <v/>
      </c>
      <c r="R42">
        <f>IF($A42="","",IF($D42&lt;&gt;1,"",RANK.EQ($Q42,$Q$3:$Q$202,0)))</f>
        <v/>
      </c>
      <c r="S42">
        <f>IF($A42="","",IF($D42=1,"",Derived!L42))</f>
        <v/>
      </c>
      <c r="T42" s="19">
        <f>IF($D42=1,$Q42,"")</f>
        <v/>
      </c>
    </row>
    <row r="43">
      <c r="A43">
        <f>Derived!A43</f>
        <v/>
      </c>
      <c r="B43">
        <f>Derived!B43</f>
        <v/>
      </c>
      <c r="C43">
        <f>Derived!C43</f>
        <v/>
      </c>
      <c r="D43">
        <f>Derived!K43</f>
        <v/>
      </c>
      <c r="E43" s="16">
        <f>Derived!F43</f>
        <v/>
      </c>
      <c r="F43">
        <f>IF(OR($E43=""),"",MAX(0,MIN(1,(cfg_PBR_max-MIN($E43,cfg_PBR_max))/(cfg_PBR_max-cfg_PBR_floor))))</f>
        <v/>
      </c>
      <c r="G43" s="17">
        <f>Derived!H43</f>
        <v/>
      </c>
      <c r="H43">
        <f>IF(OR($G43=""),"",MAX(0,MIN(1,MIN($G43,cap_NetCashPct)/cap_NetCashPct)))</f>
        <v/>
      </c>
      <c r="I43" s="15">
        <f>Derived!J43</f>
        <v/>
      </c>
      <c r="J43">
        <f>IF(OR($I43=""),"",MAX(0,MIN(1,($I43-cfg_Liq_min)/(cfg_Liq_cap-cfg_Liq_min))))</f>
        <v/>
      </c>
      <c r="K43" s="17">
        <f>Fundamentals!P43</f>
        <v/>
      </c>
      <c r="L43" s="17">
        <f>Fundamentals!Q43</f>
        <v/>
      </c>
      <c r="M43">
        <f>IF(AND($K43="",$L43=""),"",MIN(1,IF($K43="",0,MIN($K43,cap_DivYield)/cap_DivYield)*0.5+IF($L43="",0,MIN($L43,cap_BuybackYield)/cap_BuybackYield)*0.5))</f>
        <v/>
      </c>
      <c r="N43">
        <f>IF($A43="","",AVERAGE(IF(Fundamentals!R43="",0,Fundamentals!R43),IF(Fundamentals!S43="",0,Fundamentals!S43),IF(Fundamentals!T43="",0,Fundamentals!T43)))</f>
        <v/>
      </c>
      <c r="O43">
        <f>IF($A43="","",MAX(0,MIN(1,$N43)))</f>
        <v/>
      </c>
      <c r="P43" s="18">
        <f>IF($A43="","",ROUND(w_PBR*$F43+w_NetCash*$H43+w_Liq*$J43+w_Return*$M43+w_GovAct*$O43,2))</f>
        <v/>
      </c>
      <c r="Q43" s="19">
        <f>IF($A43="","",$P43+(100000-ROW())/100000000)</f>
        <v/>
      </c>
      <c r="R43">
        <f>IF($A43="","",IF($D43&lt;&gt;1,"",RANK.EQ($Q43,$Q$3:$Q$202,0)))</f>
        <v/>
      </c>
      <c r="S43">
        <f>IF($A43="","",IF($D43=1,"",Derived!L43))</f>
        <v/>
      </c>
      <c r="T43" s="19">
        <f>IF($D43=1,$Q43,"")</f>
        <v/>
      </c>
    </row>
    <row r="44">
      <c r="A44">
        <f>Derived!A44</f>
        <v/>
      </c>
      <c r="B44">
        <f>Derived!B44</f>
        <v/>
      </c>
      <c r="C44">
        <f>Derived!C44</f>
        <v/>
      </c>
      <c r="D44">
        <f>Derived!K44</f>
        <v/>
      </c>
      <c r="E44" s="16">
        <f>Derived!F44</f>
        <v/>
      </c>
      <c r="F44">
        <f>IF(OR($E44=""),"",MAX(0,MIN(1,(cfg_PBR_max-MIN($E44,cfg_PBR_max))/(cfg_PBR_max-cfg_PBR_floor))))</f>
        <v/>
      </c>
      <c r="G44" s="17">
        <f>Derived!H44</f>
        <v/>
      </c>
      <c r="H44">
        <f>IF(OR($G44=""),"",MAX(0,MIN(1,MIN($G44,cap_NetCashPct)/cap_NetCashPct)))</f>
        <v/>
      </c>
      <c r="I44" s="15">
        <f>Derived!J44</f>
        <v/>
      </c>
      <c r="J44">
        <f>IF(OR($I44=""),"",MAX(0,MIN(1,($I44-cfg_Liq_min)/(cfg_Liq_cap-cfg_Liq_min))))</f>
        <v/>
      </c>
      <c r="K44" s="17">
        <f>Fundamentals!P44</f>
        <v/>
      </c>
      <c r="L44" s="17">
        <f>Fundamentals!Q44</f>
        <v/>
      </c>
      <c r="M44">
        <f>IF(AND($K44="",$L44=""),"",MIN(1,IF($K44="",0,MIN($K44,cap_DivYield)/cap_DivYield)*0.5+IF($L44="",0,MIN($L44,cap_BuybackYield)/cap_BuybackYield)*0.5))</f>
        <v/>
      </c>
      <c r="N44">
        <f>IF($A44="","",AVERAGE(IF(Fundamentals!R44="",0,Fundamentals!R44),IF(Fundamentals!S44="",0,Fundamentals!S44),IF(Fundamentals!T44="",0,Fundamentals!T44)))</f>
        <v/>
      </c>
      <c r="O44">
        <f>IF($A44="","",MAX(0,MIN(1,$N44)))</f>
        <v/>
      </c>
      <c r="P44" s="18">
        <f>IF($A44="","",ROUND(w_PBR*$F44+w_NetCash*$H44+w_Liq*$J44+w_Return*$M44+w_GovAct*$O44,2))</f>
        <v/>
      </c>
      <c r="Q44" s="19">
        <f>IF($A44="","",$P44+(100000-ROW())/100000000)</f>
        <v/>
      </c>
      <c r="R44">
        <f>IF($A44="","",IF($D44&lt;&gt;1,"",RANK.EQ($Q44,$Q$3:$Q$202,0)))</f>
        <v/>
      </c>
      <c r="S44">
        <f>IF($A44="","",IF($D44=1,"",Derived!L44))</f>
        <v/>
      </c>
      <c r="T44" s="19">
        <f>IF($D44=1,$Q44,"")</f>
        <v/>
      </c>
    </row>
    <row r="45">
      <c r="A45">
        <f>Derived!A45</f>
        <v/>
      </c>
      <c r="B45">
        <f>Derived!B45</f>
        <v/>
      </c>
      <c r="C45">
        <f>Derived!C45</f>
        <v/>
      </c>
      <c r="D45">
        <f>Derived!K45</f>
        <v/>
      </c>
      <c r="E45" s="16">
        <f>Derived!F45</f>
        <v/>
      </c>
      <c r="F45">
        <f>IF(OR($E45=""),"",MAX(0,MIN(1,(cfg_PBR_max-MIN($E45,cfg_PBR_max))/(cfg_PBR_max-cfg_PBR_floor))))</f>
        <v/>
      </c>
      <c r="G45" s="17">
        <f>Derived!H45</f>
        <v/>
      </c>
      <c r="H45">
        <f>IF(OR($G45=""),"",MAX(0,MIN(1,MIN($G45,cap_NetCashPct)/cap_NetCashPct)))</f>
        <v/>
      </c>
      <c r="I45" s="15">
        <f>Derived!J45</f>
        <v/>
      </c>
      <c r="J45">
        <f>IF(OR($I45=""),"",MAX(0,MIN(1,($I45-cfg_Liq_min)/(cfg_Liq_cap-cfg_Liq_min))))</f>
        <v/>
      </c>
      <c r="K45" s="17">
        <f>Fundamentals!P45</f>
        <v/>
      </c>
      <c r="L45" s="17">
        <f>Fundamentals!Q45</f>
        <v/>
      </c>
      <c r="M45">
        <f>IF(AND($K45="",$L45=""),"",MIN(1,IF($K45="",0,MIN($K45,cap_DivYield)/cap_DivYield)*0.5+IF($L45="",0,MIN($L45,cap_BuybackYield)/cap_BuybackYield)*0.5))</f>
        <v/>
      </c>
      <c r="N45">
        <f>IF($A45="","",AVERAGE(IF(Fundamentals!R45="",0,Fundamentals!R45),IF(Fundamentals!S45="",0,Fundamentals!S45),IF(Fundamentals!T45="",0,Fundamentals!T45)))</f>
        <v/>
      </c>
      <c r="O45">
        <f>IF($A45="","",MAX(0,MIN(1,$N45)))</f>
        <v/>
      </c>
      <c r="P45" s="18">
        <f>IF($A45="","",ROUND(w_PBR*$F45+w_NetCash*$H45+w_Liq*$J45+w_Return*$M45+w_GovAct*$O45,2))</f>
        <v/>
      </c>
      <c r="Q45" s="19">
        <f>IF($A45="","",$P45+(100000-ROW())/100000000)</f>
        <v/>
      </c>
      <c r="R45">
        <f>IF($A45="","",IF($D45&lt;&gt;1,"",RANK.EQ($Q45,$Q$3:$Q$202,0)))</f>
        <v/>
      </c>
      <c r="S45">
        <f>IF($A45="","",IF($D45=1,"",Derived!L45))</f>
        <v/>
      </c>
      <c r="T45" s="19">
        <f>IF($D45=1,$Q45,"")</f>
        <v/>
      </c>
    </row>
    <row r="46">
      <c r="A46">
        <f>Derived!A46</f>
        <v/>
      </c>
      <c r="B46">
        <f>Derived!B46</f>
        <v/>
      </c>
      <c r="C46">
        <f>Derived!C46</f>
        <v/>
      </c>
      <c r="D46">
        <f>Derived!K46</f>
        <v/>
      </c>
      <c r="E46" s="16">
        <f>Derived!F46</f>
        <v/>
      </c>
      <c r="F46">
        <f>IF(OR($E46=""),"",MAX(0,MIN(1,(cfg_PBR_max-MIN($E46,cfg_PBR_max))/(cfg_PBR_max-cfg_PBR_floor))))</f>
        <v/>
      </c>
      <c r="G46" s="17">
        <f>Derived!H46</f>
        <v/>
      </c>
      <c r="H46">
        <f>IF(OR($G46=""),"",MAX(0,MIN(1,MIN($G46,cap_NetCashPct)/cap_NetCashPct)))</f>
        <v/>
      </c>
      <c r="I46" s="15">
        <f>Derived!J46</f>
        <v/>
      </c>
      <c r="J46">
        <f>IF(OR($I46=""),"",MAX(0,MIN(1,($I46-cfg_Liq_min)/(cfg_Liq_cap-cfg_Liq_min))))</f>
        <v/>
      </c>
      <c r="K46" s="17">
        <f>Fundamentals!P46</f>
        <v/>
      </c>
      <c r="L46" s="17">
        <f>Fundamentals!Q46</f>
        <v/>
      </c>
      <c r="M46">
        <f>IF(AND($K46="",$L46=""),"",MIN(1,IF($K46="",0,MIN($K46,cap_DivYield)/cap_DivYield)*0.5+IF($L46="",0,MIN($L46,cap_BuybackYield)/cap_BuybackYield)*0.5))</f>
        <v/>
      </c>
      <c r="N46">
        <f>IF($A46="","",AVERAGE(IF(Fundamentals!R46="",0,Fundamentals!R46),IF(Fundamentals!S46="",0,Fundamentals!S46),IF(Fundamentals!T46="",0,Fundamentals!T46)))</f>
        <v/>
      </c>
      <c r="O46">
        <f>IF($A46="","",MAX(0,MIN(1,$N46)))</f>
        <v/>
      </c>
      <c r="P46" s="18">
        <f>IF($A46="","",ROUND(w_PBR*$F46+w_NetCash*$H46+w_Liq*$J46+w_Return*$M46+w_GovAct*$O46,2))</f>
        <v/>
      </c>
      <c r="Q46" s="19">
        <f>IF($A46="","",$P46+(100000-ROW())/100000000)</f>
        <v/>
      </c>
      <c r="R46">
        <f>IF($A46="","",IF($D46&lt;&gt;1,"",RANK.EQ($Q46,$Q$3:$Q$202,0)))</f>
        <v/>
      </c>
      <c r="S46">
        <f>IF($A46="","",IF($D46=1,"",Derived!L46))</f>
        <v/>
      </c>
      <c r="T46" s="19">
        <f>IF($D46=1,$Q46,"")</f>
        <v/>
      </c>
    </row>
    <row r="47">
      <c r="A47">
        <f>Derived!A47</f>
        <v/>
      </c>
      <c r="B47">
        <f>Derived!B47</f>
        <v/>
      </c>
      <c r="C47">
        <f>Derived!C47</f>
        <v/>
      </c>
      <c r="D47">
        <f>Derived!K47</f>
        <v/>
      </c>
      <c r="E47" s="16">
        <f>Derived!F47</f>
        <v/>
      </c>
      <c r="F47">
        <f>IF(OR($E47=""),"",MAX(0,MIN(1,(cfg_PBR_max-MIN($E47,cfg_PBR_max))/(cfg_PBR_max-cfg_PBR_floor))))</f>
        <v/>
      </c>
      <c r="G47" s="17">
        <f>Derived!H47</f>
        <v/>
      </c>
      <c r="H47">
        <f>IF(OR($G47=""),"",MAX(0,MIN(1,MIN($G47,cap_NetCashPct)/cap_NetCashPct)))</f>
        <v/>
      </c>
      <c r="I47" s="15">
        <f>Derived!J47</f>
        <v/>
      </c>
      <c r="J47">
        <f>IF(OR($I47=""),"",MAX(0,MIN(1,($I47-cfg_Liq_min)/(cfg_Liq_cap-cfg_Liq_min))))</f>
        <v/>
      </c>
      <c r="K47" s="17">
        <f>Fundamentals!P47</f>
        <v/>
      </c>
      <c r="L47" s="17">
        <f>Fundamentals!Q47</f>
        <v/>
      </c>
      <c r="M47">
        <f>IF(AND($K47="",$L47=""),"",MIN(1,IF($K47="",0,MIN($K47,cap_DivYield)/cap_DivYield)*0.5+IF($L47="",0,MIN($L47,cap_BuybackYield)/cap_BuybackYield)*0.5))</f>
        <v/>
      </c>
      <c r="N47">
        <f>IF($A47="","",AVERAGE(IF(Fundamentals!R47="",0,Fundamentals!R47),IF(Fundamentals!S47="",0,Fundamentals!S47),IF(Fundamentals!T47="",0,Fundamentals!T47)))</f>
        <v/>
      </c>
      <c r="O47">
        <f>IF($A47="","",MAX(0,MIN(1,$N47)))</f>
        <v/>
      </c>
      <c r="P47" s="18">
        <f>IF($A47="","",ROUND(w_PBR*$F47+w_NetCash*$H47+w_Liq*$J47+w_Return*$M47+w_GovAct*$O47,2))</f>
        <v/>
      </c>
      <c r="Q47" s="19">
        <f>IF($A47="","",$P47+(100000-ROW())/100000000)</f>
        <v/>
      </c>
      <c r="R47">
        <f>IF($A47="","",IF($D47&lt;&gt;1,"",RANK.EQ($Q47,$Q$3:$Q$202,0)))</f>
        <v/>
      </c>
      <c r="S47">
        <f>IF($A47="","",IF($D47=1,"",Derived!L47))</f>
        <v/>
      </c>
      <c r="T47" s="19">
        <f>IF($D47=1,$Q47,"")</f>
        <v/>
      </c>
    </row>
    <row r="48">
      <c r="A48">
        <f>Derived!A48</f>
        <v/>
      </c>
      <c r="B48">
        <f>Derived!B48</f>
        <v/>
      </c>
      <c r="C48">
        <f>Derived!C48</f>
        <v/>
      </c>
      <c r="D48">
        <f>Derived!K48</f>
        <v/>
      </c>
      <c r="E48" s="16">
        <f>Derived!F48</f>
        <v/>
      </c>
      <c r="F48">
        <f>IF(OR($E48=""),"",MAX(0,MIN(1,(cfg_PBR_max-MIN($E48,cfg_PBR_max))/(cfg_PBR_max-cfg_PBR_floor))))</f>
        <v/>
      </c>
      <c r="G48" s="17">
        <f>Derived!H48</f>
        <v/>
      </c>
      <c r="H48">
        <f>IF(OR($G48=""),"",MAX(0,MIN(1,MIN($G48,cap_NetCashPct)/cap_NetCashPct)))</f>
        <v/>
      </c>
      <c r="I48" s="15">
        <f>Derived!J48</f>
        <v/>
      </c>
      <c r="J48">
        <f>IF(OR($I48=""),"",MAX(0,MIN(1,($I48-cfg_Liq_min)/(cfg_Liq_cap-cfg_Liq_min))))</f>
        <v/>
      </c>
      <c r="K48" s="17">
        <f>Fundamentals!P48</f>
        <v/>
      </c>
      <c r="L48" s="17">
        <f>Fundamentals!Q48</f>
        <v/>
      </c>
      <c r="M48">
        <f>IF(AND($K48="",$L48=""),"",MIN(1,IF($K48="",0,MIN($K48,cap_DivYield)/cap_DivYield)*0.5+IF($L48="",0,MIN($L48,cap_BuybackYield)/cap_BuybackYield)*0.5))</f>
        <v/>
      </c>
      <c r="N48">
        <f>IF($A48="","",AVERAGE(IF(Fundamentals!R48="",0,Fundamentals!R48),IF(Fundamentals!S48="",0,Fundamentals!S48),IF(Fundamentals!T48="",0,Fundamentals!T48)))</f>
        <v/>
      </c>
      <c r="O48">
        <f>IF($A48="","",MAX(0,MIN(1,$N48)))</f>
        <v/>
      </c>
      <c r="P48" s="18">
        <f>IF($A48="","",ROUND(w_PBR*$F48+w_NetCash*$H48+w_Liq*$J48+w_Return*$M48+w_GovAct*$O48,2))</f>
        <v/>
      </c>
      <c r="Q48" s="19">
        <f>IF($A48="","",$P48+(100000-ROW())/100000000)</f>
        <v/>
      </c>
      <c r="R48">
        <f>IF($A48="","",IF($D48&lt;&gt;1,"",RANK.EQ($Q48,$Q$3:$Q$202,0)))</f>
        <v/>
      </c>
      <c r="S48">
        <f>IF($A48="","",IF($D48=1,"",Derived!L48))</f>
        <v/>
      </c>
      <c r="T48" s="19">
        <f>IF($D48=1,$Q48,"")</f>
        <v/>
      </c>
    </row>
    <row r="49">
      <c r="A49">
        <f>Derived!A49</f>
        <v/>
      </c>
      <c r="B49">
        <f>Derived!B49</f>
        <v/>
      </c>
      <c r="C49">
        <f>Derived!C49</f>
        <v/>
      </c>
      <c r="D49">
        <f>Derived!K49</f>
        <v/>
      </c>
      <c r="E49" s="16">
        <f>Derived!F49</f>
        <v/>
      </c>
      <c r="F49">
        <f>IF(OR($E49=""),"",MAX(0,MIN(1,(cfg_PBR_max-MIN($E49,cfg_PBR_max))/(cfg_PBR_max-cfg_PBR_floor))))</f>
        <v/>
      </c>
      <c r="G49" s="17">
        <f>Derived!H49</f>
        <v/>
      </c>
      <c r="H49">
        <f>IF(OR($G49=""),"",MAX(0,MIN(1,MIN($G49,cap_NetCashPct)/cap_NetCashPct)))</f>
        <v/>
      </c>
      <c r="I49" s="15">
        <f>Derived!J49</f>
        <v/>
      </c>
      <c r="J49">
        <f>IF(OR($I49=""),"",MAX(0,MIN(1,($I49-cfg_Liq_min)/(cfg_Liq_cap-cfg_Liq_min))))</f>
        <v/>
      </c>
      <c r="K49" s="17">
        <f>Fundamentals!P49</f>
        <v/>
      </c>
      <c r="L49" s="17">
        <f>Fundamentals!Q49</f>
        <v/>
      </c>
      <c r="M49">
        <f>IF(AND($K49="",$L49=""),"",MIN(1,IF($K49="",0,MIN($K49,cap_DivYield)/cap_DivYield)*0.5+IF($L49="",0,MIN($L49,cap_BuybackYield)/cap_BuybackYield)*0.5))</f>
        <v/>
      </c>
      <c r="N49">
        <f>IF($A49="","",AVERAGE(IF(Fundamentals!R49="",0,Fundamentals!R49),IF(Fundamentals!S49="",0,Fundamentals!S49),IF(Fundamentals!T49="",0,Fundamentals!T49)))</f>
        <v/>
      </c>
      <c r="O49">
        <f>IF($A49="","",MAX(0,MIN(1,$N49)))</f>
        <v/>
      </c>
      <c r="P49" s="18">
        <f>IF($A49="","",ROUND(w_PBR*$F49+w_NetCash*$H49+w_Liq*$J49+w_Return*$M49+w_GovAct*$O49,2))</f>
        <v/>
      </c>
      <c r="Q49" s="19">
        <f>IF($A49="","",$P49+(100000-ROW())/100000000)</f>
        <v/>
      </c>
      <c r="R49">
        <f>IF($A49="","",IF($D49&lt;&gt;1,"",RANK.EQ($Q49,$Q$3:$Q$202,0)))</f>
        <v/>
      </c>
      <c r="S49">
        <f>IF($A49="","",IF($D49=1,"",Derived!L49))</f>
        <v/>
      </c>
      <c r="T49" s="19">
        <f>IF($D49=1,$Q49,"")</f>
        <v/>
      </c>
    </row>
    <row r="50">
      <c r="A50">
        <f>Derived!A50</f>
        <v/>
      </c>
      <c r="B50">
        <f>Derived!B50</f>
        <v/>
      </c>
      <c r="C50">
        <f>Derived!C50</f>
        <v/>
      </c>
      <c r="D50">
        <f>Derived!K50</f>
        <v/>
      </c>
      <c r="E50" s="16">
        <f>Derived!F50</f>
        <v/>
      </c>
      <c r="F50">
        <f>IF(OR($E50=""),"",MAX(0,MIN(1,(cfg_PBR_max-MIN($E50,cfg_PBR_max))/(cfg_PBR_max-cfg_PBR_floor))))</f>
        <v/>
      </c>
      <c r="G50" s="17">
        <f>Derived!H50</f>
        <v/>
      </c>
      <c r="H50">
        <f>IF(OR($G50=""),"",MAX(0,MIN(1,MIN($G50,cap_NetCashPct)/cap_NetCashPct)))</f>
        <v/>
      </c>
      <c r="I50" s="15">
        <f>Derived!J50</f>
        <v/>
      </c>
      <c r="J50">
        <f>IF(OR($I50=""),"",MAX(0,MIN(1,($I50-cfg_Liq_min)/(cfg_Liq_cap-cfg_Liq_min))))</f>
        <v/>
      </c>
      <c r="K50" s="17">
        <f>Fundamentals!P50</f>
        <v/>
      </c>
      <c r="L50" s="17">
        <f>Fundamentals!Q50</f>
        <v/>
      </c>
      <c r="M50">
        <f>IF(AND($K50="",$L50=""),"",MIN(1,IF($K50="",0,MIN($K50,cap_DivYield)/cap_DivYield)*0.5+IF($L50="",0,MIN($L50,cap_BuybackYield)/cap_BuybackYield)*0.5))</f>
        <v/>
      </c>
      <c r="N50">
        <f>IF($A50="","",AVERAGE(IF(Fundamentals!R50="",0,Fundamentals!R50),IF(Fundamentals!S50="",0,Fundamentals!S50),IF(Fundamentals!T50="",0,Fundamentals!T50)))</f>
        <v/>
      </c>
      <c r="O50">
        <f>IF($A50="","",MAX(0,MIN(1,$N50)))</f>
        <v/>
      </c>
      <c r="P50" s="18">
        <f>IF($A50="","",ROUND(w_PBR*$F50+w_NetCash*$H50+w_Liq*$J50+w_Return*$M50+w_GovAct*$O50,2))</f>
        <v/>
      </c>
      <c r="Q50" s="19">
        <f>IF($A50="","",$P50+(100000-ROW())/100000000)</f>
        <v/>
      </c>
      <c r="R50">
        <f>IF($A50="","",IF($D50&lt;&gt;1,"",RANK.EQ($Q50,$Q$3:$Q$202,0)))</f>
        <v/>
      </c>
      <c r="S50">
        <f>IF($A50="","",IF($D50=1,"",Derived!L50))</f>
        <v/>
      </c>
      <c r="T50" s="19">
        <f>IF($D50=1,$Q50,"")</f>
        <v/>
      </c>
    </row>
    <row r="51">
      <c r="A51">
        <f>Derived!A51</f>
        <v/>
      </c>
      <c r="B51">
        <f>Derived!B51</f>
        <v/>
      </c>
      <c r="C51">
        <f>Derived!C51</f>
        <v/>
      </c>
      <c r="D51">
        <f>Derived!K51</f>
        <v/>
      </c>
      <c r="E51" s="16">
        <f>Derived!F51</f>
        <v/>
      </c>
      <c r="F51">
        <f>IF(OR($E51=""),"",MAX(0,MIN(1,(cfg_PBR_max-MIN($E51,cfg_PBR_max))/(cfg_PBR_max-cfg_PBR_floor))))</f>
        <v/>
      </c>
      <c r="G51" s="17">
        <f>Derived!H51</f>
        <v/>
      </c>
      <c r="H51">
        <f>IF(OR($G51=""),"",MAX(0,MIN(1,MIN($G51,cap_NetCashPct)/cap_NetCashPct)))</f>
        <v/>
      </c>
      <c r="I51" s="15">
        <f>Derived!J51</f>
        <v/>
      </c>
      <c r="J51">
        <f>IF(OR($I51=""),"",MAX(0,MIN(1,($I51-cfg_Liq_min)/(cfg_Liq_cap-cfg_Liq_min))))</f>
        <v/>
      </c>
      <c r="K51" s="17">
        <f>Fundamentals!P51</f>
        <v/>
      </c>
      <c r="L51" s="17">
        <f>Fundamentals!Q51</f>
        <v/>
      </c>
      <c r="M51">
        <f>IF(AND($K51="",$L51=""),"",MIN(1,IF($K51="",0,MIN($K51,cap_DivYield)/cap_DivYield)*0.5+IF($L51="",0,MIN($L51,cap_BuybackYield)/cap_BuybackYield)*0.5))</f>
        <v/>
      </c>
      <c r="N51">
        <f>IF($A51="","",AVERAGE(IF(Fundamentals!R51="",0,Fundamentals!R51),IF(Fundamentals!S51="",0,Fundamentals!S51),IF(Fundamentals!T51="",0,Fundamentals!T51)))</f>
        <v/>
      </c>
      <c r="O51">
        <f>IF($A51="","",MAX(0,MIN(1,$N51)))</f>
        <v/>
      </c>
      <c r="P51" s="18">
        <f>IF($A51="","",ROUND(w_PBR*$F51+w_NetCash*$H51+w_Liq*$J51+w_Return*$M51+w_GovAct*$O51,2))</f>
        <v/>
      </c>
      <c r="Q51" s="19">
        <f>IF($A51="","",$P51+(100000-ROW())/100000000)</f>
        <v/>
      </c>
      <c r="R51">
        <f>IF($A51="","",IF($D51&lt;&gt;1,"",RANK.EQ($Q51,$Q$3:$Q$202,0)))</f>
        <v/>
      </c>
      <c r="S51">
        <f>IF($A51="","",IF($D51=1,"",Derived!L51))</f>
        <v/>
      </c>
      <c r="T51" s="19">
        <f>IF($D51=1,$Q51,"")</f>
        <v/>
      </c>
    </row>
    <row r="52">
      <c r="A52">
        <f>Derived!A52</f>
        <v/>
      </c>
      <c r="B52">
        <f>Derived!B52</f>
        <v/>
      </c>
      <c r="C52">
        <f>Derived!C52</f>
        <v/>
      </c>
      <c r="D52">
        <f>Derived!K52</f>
        <v/>
      </c>
      <c r="E52" s="16">
        <f>Derived!F52</f>
        <v/>
      </c>
      <c r="F52">
        <f>IF(OR($E52=""),"",MAX(0,MIN(1,(cfg_PBR_max-MIN($E52,cfg_PBR_max))/(cfg_PBR_max-cfg_PBR_floor))))</f>
        <v/>
      </c>
      <c r="G52" s="17">
        <f>Derived!H52</f>
        <v/>
      </c>
      <c r="H52">
        <f>IF(OR($G52=""),"",MAX(0,MIN(1,MIN($G52,cap_NetCashPct)/cap_NetCashPct)))</f>
        <v/>
      </c>
      <c r="I52" s="15">
        <f>Derived!J52</f>
        <v/>
      </c>
      <c r="J52">
        <f>IF(OR($I52=""),"",MAX(0,MIN(1,($I52-cfg_Liq_min)/(cfg_Liq_cap-cfg_Liq_min))))</f>
        <v/>
      </c>
      <c r="K52" s="17">
        <f>Fundamentals!P52</f>
        <v/>
      </c>
      <c r="L52" s="17">
        <f>Fundamentals!Q52</f>
        <v/>
      </c>
      <c r="M52">
        <f>IF(AND($K52="",$L52=""),"",MIN(1,IF($K52="",0,MIN($K52,cap_DivYield)/cap_DivYield)*0.5+IF($L52="",0,MIN($L52,cap_BuybackYield)/cap_BuybackYield)*0.5))</f>
        <v/>
      </c>
      <c r="N52">
        <f>IF($A52="","",AVERAGE(IF(Fundamentals!R52="",0,Fundamentals!R52),IF(Fundamentals!S52="",0,Fundamentals!S52),IF(Fundamentals!T52="",0,Fundamentals!T52)))</f>
        <v/>
      </c>
      <c r="O52">
        <f>IF($A52="","",MAX(0,MIN(1,$N52)))</f>
        <v/>
      </c>
      <c r="P52" s="18">
        <f>IF($A52="","",ROUND(w_PBR*$F52+w_NetCash*$H52+w_Liq*$J52+w_Return*$M52+w_GovAct*$O52,2))</f>
        <v/>
      </c>
      <c r="Q52" s="19">
        <f>IF($A52="","",$P52+(100000-ROW())/100000000)</f>
        <v/>
      </c>
      <c r="R52">
        <f>IF($A52="","",IF($D52&lt;&gt;1,"",RANK.EQ($Q52,$Q$3:$Q$202,0)))</f>
        <v/>
      </c>
      <c r="S52">
        <f>IF($A52="","",IF($D52=1,"",Derived!L52))</f>
        <v/>
      </c>
      <c r="T52" s="19">
        <f>IF($D52=1,$Q52,"")</f>
        <v/>
      </c>
    </row>
    <row r="53">
      <c r="A53">
        <f>Derived!A53</f>
        <v/>
      </c>
      <c r="B53">
        <f>Derived!B53</f>
        <v/>
      </c>
      <c r="C53">
        <f>Derived!C53</f>
        <v/>
      </c>
      <c r="D53">
        <f>Derived!K53</f>
        <v/>
      </c>
      <c r="E53" s="16">
        <f>Derived!F53</f>
        <v/>
      </c>
      <c r="F53">
        <f>IF(OR($E53=""),"",MAX(0,MIN(1,(cfg_PBR_max-MIN($E53,cfg_PBR_max))/(cfg_PBR_max-cfg_PBR_floor))))</f>
        <v/>
      </c>
      <c r="G53" s="17">
        <f>Derived!H53</f>
        <v/>
      </c>
      <c r="H53">
        <f>IF(OR($G53=""),"",MAX(0,MIN(1,MIN($G53,cap_NetCashPct)/cap_NetCashPct)))</f>
        <v/>
      </c>
      <c r="I53" s="15">
        <f>Derived!J53</f>
        <v/>
      </c>
      <c r="J53">
        <f>IF(OR($I53=""),"",MAX(0,MIN(1,($I53-cfg_Liq_min)/(cfg_Liq_cap-cfg_Liq_min))))</f>
        <v/>
      </c>
      <c r="K53" s="17">
        <f>Fundamentals!P53</f>
        <v/>
      </c>
      <c r="L53" s="17">
        <f>Fundamentals!Q53</f>
        <v/>
      </c>
      <c r="M53">
        <f>IF(AND($K53="",$L53=""),"",MIN(1,IF($K53="",0,MIN($K53,cap_DivYield)/cap_DivYield)*0.5+IF($L53="",0,MIN($L53,cap_BuybackYield)/cap_BuybackYield)*0.5))</f>
        <v/>
      </c>
      <c r="N53">
        <f>IF($A53="","",AVERAGE(IF(Fundamentals!R53="",0,Fundamentals!R53),IF(Fundamentals!S53="",0,Fundamentals!S53),IF(Fundamentals!T53="",0,Fundamentals!T53)))</f>
        <v/>
      </c>
      <c r="O53">
        <f>IF($A53="","",MAX(0,MIN(1,$N53)))</f>
        <v/>
      </c>
      <c r="P53" s="18">
        <f>IF($A53="","",ROUND(w_PBR*$F53+w_NetCash*$H53+w_Liq*$J53+w_Return*$M53+w_GovAct*$O53,2))</f>
        <v/>
      </c>
      <c r="Q53" s="19">
        <f>IF($A53="","",$P53+(100000-ROW())/100000000)</f>
        <v/>
      </c>
      <c r="R53">
        <f>IF($A53="","",IF($D53&lt;&gt;1,"",RANK.EQ($Q53,$Q$3:$Q$202,0)))</f>
        <v/>
      </c>
      <c r="S53">
        <f>IF($A53="","",IF($D53=1,"",Derived!L53))</f>
        <v/>
      </c>
      <c r="T53" s="19">
        <f>IF($D53=1,$Q53,"")</f>
        <v/>
      </c>
    </row>
    <row r="54">
      <c r="A54">
        <f>Derived!A54</f>
        <v/>
      </c>
      <c r="B54">
        <f>Derived!B54</f>
        <v/>
      </c>
      <c r="C54">
        <f>Derived!C54</f>
        <v/>
      </c>
      <c r="D54">
        <f>Derived!K54</f>
        <v/>
      </c>
      <c r="E54" s="16">
        <f>Derived!F54</f>
        <v/>
      </c>
      <c r="F54">
        <f>IF(OR($E54=""),"",MAX(0,MIN(1,(cfg_PBR_max-MIN($E54,cfg_PBR_max))/(cfg_PBR_max-cfg_PBR_floor))))</f>
        <v/>
      </c>
      <c r="G54" s="17">
        <f>Derived!H54</f>
        <v/>
      </c>
      <c r="H54">
        <f>IF(OR($G54=""),"",MAX(0,MIN(1,MIN($G54,cap_NetCashPct)/cap_NetCashPct)))</f>
        <v/>
      </c>
      <c r="I54" s="15">
        <f>Derived!J54</f>
        <v/>
      </c>
      <c r="J54">
        <f>IF(OR($I54=""),"",MAX(0,MIN(1,($I54-cfg_Liq_min)/(cfg_Liq_cap-cfg_Liq_min))))</f>
        <v/>
      </c>
      <c r="K54" s="17">
        <f>Fundamentals!P54</f>
        <v/>
      </c>
      <c r="L54" s="17">
        <f>Fundamentals!Q54</f>
        <v/>
      </c>
      <c r="M54">
        <f>IF(AND($K54="",$L54=""),"",MIN(1,IF($K54="",0,MIN($K54,cap_DivYield)/cap_DivYield)*0.5+IF($L54="",0,MIN($L54,cap_BuybackYield)/cap_BuybackYield)*0.5))</f>
        <v/>
      </c>
      <c r="N54">
        <f>IF($A54="","",AVERAGE(IF(Fundamentals!R54="",0,Fundamentals!R54),IF(Fundamentals!S54="",0,Fundamentals!S54),IF(Fundamentals!T54="",0,Fundamentals!T54)))</f>
        <v/>
      </c>
      <c r="O54">
        <f>IF($A54="","",MAX(0,MIN(1,$N54)))</f>
        <v/>
      </c>
      <c r="P54" s="18">
        <f>IF($A54="","",ROUND(w_PBR*$F54+w_NetCash*$H54+w_Liq*$J54+w_Return*$M54+w_GovAct*$O54,2))</f>
        <v/>
      </c>
      <c r="Q54" s="19">
        <f>IF($A54="","",$P54+(100000-ROW())/100000000)</f>
        <v/>
      </c>
      <c r="R54">
        <f>IF($A54="","",IF($D54&lt;&gt;1,"",RANK.EQ($Q54,$Q$3:$Q$202,0)))</f>
        <v/>
      </c>
      <c r="S54">
        <f>IF($A54="","",IF($D54=1,"",Derived!L54))</f>
        <v/>
      </c>
      <c r="T54" s="19">
        <f>IF($D54=1,$Q54,"")</f>
        <v/>
      </c>
    </row>
    <row r="55">
      <c r="A55">
        <f>Derived!A55</f>
        <v/>
      </c>
      <c r="B55">
        <f>Derived!B55</f>
        <v/>
      </c>
      <c r="C55">
        <f>Derived!C55</f>
        <v/>
      </c>
      <c r="D55">
        <f>Derived!K55</f>
        <v/>
      </c>
      <c r="E55" s="16">
        <f>Derived!F55</f>
        <v/>
      </c>
      <c r="F55">
        <f>IF(OR($E55=""),"",MAX(0,MIN(1,(cfg_PBR_max-MIN($E55,cfg_PBR_max))/(cfg_PBR_max-cfg_PBR_floor))))</f>
        <v/>
      </c>
      <c r="G55" s="17">
        <f>Derived!H55</f>
        <v/>
      </c>
      <c r="H55">
        <f>IF(OR($G55=""),"",MAX(0,MIN(1,MIN($G55,cap_NetCashPct)/cap_NetCashPct)))</f>
        <v/>
      </c>
      <c r="I55" s="15">
        <f>Derived!J55</f>
        <v/>
      </c>
      <c r="J55">
        <f>IF(OR($I55=""),"",MAX(0,MIN(1,($I55-cfg_Liq_min)/(cfg_Liq_cap-cfg_Liq_min))))</f>
        <v/>
      </c>
      <c r="K55" s="17">
        <f>Fundamentals!P55</f>
        <v/>
      </c>
      <c r="L55" s="17">
        <f>Fundamentals!Q55</f>
        <v/>
      </c>
      <c r="M55">
        <f>IF(AND($K55="",$L55=""),"",MIN(1,IF($K55="",0,MIN($K55,cap_DivYield)/cap_DivYield)*0.5+IF($L55="",0,MIN($L55,cap_BuybackYield)/cap_BuybackYield)*0.5))</f>
        <v/>
      </c>
      <c r="N55">
        <f>IF($A55="","",AVERAGE(IF(Fundamentals!R55="",0,Fundamentals!R55),IF(Fundamentals!S55="",0,Fundamentals!S55),IF(Fundamentals!T55="",0,Fundamentals!T55)))</f>
        <v/>
      </c>
      <c r="O55">
        <f>IF($A55="","",MAX(0,MIN(1,$N55)))</f>
        <v/>
      </c>
      <c r="P55" s="18">
        <f>IF($A55="","",ROUND(w_PBR*$F55+w_NetCash*$H55+w_Liq*$J55+w_Return*$M55+w_GovAct*$O55,2))</f>
        <v/>
      </c>
      <c r="Q55" s="19">
        <f>IF($A55="","",$P55+(100000-ROW())/100000000)</f>
        <v/>
      </c>
      <c r="R55">
        <f>IF($A55="","",IF($D55&lt;&gt;1,"",RANK.EQ($Q55,$Q$3:$Q$202,0)))</f>
        <v/>
      </c>
      <c r="S55">
        <f>IF($A55="","",IF($D55=1,"",Derived!L55))</f>
        <v/>
      </c>
      <c r="T55" s="19">
        <f>IF($D55=1,$Q55,"")</f>
        <v/>
      </c>
    </row>
    <row r="56">
      <c r="A56">
        <f>Derived!A56</f>
        <v/>
      </c>
      <c r="B56">
        <f>Derived!B56</f>
        <v/>
      </c>
      <c r="C56">
        <f>Derived!C56</f>
        <v/>
      </c>
      <c r="D56">
        <f>Derived!K56</f>
        <v/>
      </c>
      <c r="E56" s="16">
        <f>Derived!F56</f>
        <v/>
      </c>
      <c r="F56">
        <f>IF(OR($E56=""),"",MAX(0,MIN(1,(cfg_PBR_max-MIN($E56,cfg_PBR_max))/(cfg_PBR_max-cfg_PBR_floor))))</f>
        <v/>
      </c>
      <c r="G56" s="17">
        <f>Derived!H56</f>
        <v/>
      </c>
      <c r="H56">
        <f>IF(OR($G56=""),"",MAX(0,MIN(1,MIN($G56,cap_NetCashPct)/cap_NetCashPct)))</f>
        <v/>
      </c>
      <c r="I56" s="15">
        <f>Derived!J56</f>
        <v/>
      </c>
      <c r="J56">
        <f>IF(OR($I56=""),"",MAX(0,MIN(1,($I56-cfg_Liq_min)/(cfg_Liq_cap-cfg_Liq_min))))</f>
        <v/>
      </c>
      <c r="K56" s="17">
        <f>Fundamentals!P56</f>
        <v/>
      </c>
      <c r="L56" s="17">
        <f>Fundamentals!Q56</f>
        <v/>
      </c>
      <c r="M56">
        <f>IF(AND($K56="",$L56=""),"",MIN(1,IF($K56="",0,MIN($K56,cap_DivYield)/cap_DivYield)*0.5+IF($L56="",0,MIN($L56,cap_BuybackYield)/cap_BuybackYield)*0.5))</f>
        <v/>
      </c>
      <c r="N56">
        <f>IF($A56="","",AVERAGE(IF(Fundamentals!R56="",0,Fundamentals!R56),IF(Fundamentals!S56="",0,Fundamentals!S56),IF(Fundamentals!T56="",0,Fundamentals!T56)))</f>
        <v/>
      </c>
      <c r="O56">
        <f>IF($A56="","",MAX(0,MIN(1,$N56)))</f>
        <v/>
      </c>
      <c r="P56" s="18">
        <f>IF($A56="","",ROUND(w_PBR*$F56+w_NetCash*$H56+w_Liq*$J56+w_Return*$M56+w_GovAct*$O56,2))</f>
        <v/>
      </c>
      <c r="Q56" s="19">
        <f>IF($A56="","",$P56+(100000-ROW())/100000000)</f>
        <v/>
      </c>
      <c r="R56">
        <f>IF($A56="","",IF($D56&lt;&gt;1,"",RANK.EQ($Q56,$Q$3:$Q$202,0)))</f>
        <v/>
      </c>
      <c r="S56">
        <f>IF($A56="","",IF($D56=1,"",Derived!L56))</f>
        <v/>
      </c>
      <c r="T56" s="19">
        <f>IF($D56=1,$Q56,"")</f>
        <v/>
      </c>
    </row>
    <row r="57">
      <c r="A57">
        <f>Derived!A57</f>
        <v/>
      </c>
      <c r="B57">
        <f>Derived!B57</f>
        <v/>
      </c>
      <c r="C57">
        <f>Derived!C57</f>
        <v/>
      </c>
      <c r="D57">
        <f>Derived!K57</f>
        <v/>
      </c>
      <c r="E57" s="16">
        <f>Derived!F57</f>
        <v/>
      </c>
      <c r="F57">
        <f>IF(OR($E57=""),"",MAX(0,MIN(1,(cfg_PBR_max-MIN($E57,cfg_PBR_max))/(cfg_PBR_max-cfg_PBR_floor))))</f>
        <v/>
      </c>
      <c r="G57" s="17">
        <f>Derived!H57</f>
        <v/>
      </c>
      <c r="H57">
        <f>IF(OR($G57=""),"",MAX(0,MIN(1,MIN($G57,cap_NetCashPct)/cap_NetCashPct)))</f>
        <v/>
      </c>
      <c r="I57" s="15">
        <f>Derived!J57</f>
        <v/>
      </c>
      <c r="J57">
        <f>IF(OR($I57=""),"",MAX(0,MIN(1,($I57-cfg_Liq_min)/(cfg_Liq_cap-cfg_Liq_min))))</f>
        <v/>
      </c>
      <c r="K57" s="17">
        <f>Fundamentals!P57</f>
        <v/>
      </c>
      <c r="L57" s="17">
        <f>Fundamentals!Q57</f>
        <v/>
      </c>
      <c r="M57">
        <f>IF(AND($K57="",$L57=""),"",MIN(1,IF($K57="",0,MIN($K57,cap_DivYield)/cap_DivYield)*0.5+IF($L57="",0,MIN($L57,cap_BuybackYield)/cap_BuybackYield)*0.5))</f>
        <v/>
      </c>
      <c r="N57">
        <f>IF($A57="","",AVERAGE(IF(Fundamentals!R57="",0,Fundamentals!R57),IF(Fundamentals!S57="",0,Fundamentals!S57),IF(Fundamentals!T57="",0,Fundamentals!T57)))</f>
        <v/>
      </c>
      <c r="O57">
        <f>IF($A57="","",MAX(0,MIN(1,$N57)))</f>
        <v/>
      </c>
      <c r="P57" s="18">
        <f>IF($A57="","",ROUND(w_PBR*$F57+w_NetCash*$H57+w_Liq*$J57+w_Return*$M57+w_GovAct*$O57,2))</f>
        <v/>
      </c>
      <c r="Q57" s="19">
        <f>IF($A57="","",$P57+(100000-ROW())/100000000)</f>
        <v/>
      </c>
      <c r="R57">
        <f>IF($A57="","",IF($D57&lt;&gt;1,"",RANK.EQ($Q57,$Q$3:$Q$202,0)))</f>
        <v/>
      </c>
      <c r="S57">
        <f>IF($A57="","",IF($D57=1,"",Derived!L57))</f>
        <v/>
      </c>
      <c r="T57" s="19">
        <f>IF($D57=1,$Q57,"")</f>
        <v/>
      </c>
    </row>
    <row r="58">
      <c r="A58">
        <f>Derived!A58</f>
        <v/>
      </c>
      <c r="B58">
        <f>Derived!B58</f>
        <v/>
      </c>
      <c r="C58">
        <f>Derived!C58</f>
        <v/>
      </c>
      <c r="D58">
        <f>Derived!K58</f>
        <v/>
      </c>
      <c r="E58" s="16">
        <f>Derived!F58</f>
        <v/>
      </c>
      <c r="F58">
        <f>IF(OR($E58=""),"",MAX(0,MIN(1,(cfg_PBR_max-MIN($E58,cfg_PBR_max))/(cfg_PBR_max-cfg_PBR_floor))))</f>
        <v/>
      </c>
      <c r="G58" s="17">
        <f>Derived!H58</f>
        <v/>
      </c>
      <c r="H58">
        <f>IF(OR($G58=""),"",MAX(0,MIN(1,MIN($G58,cap_NetCashPct)/cap_NetCashPct)))</f>
        <v/>
      </c>
      <c r="I58" s="15">
        <f>Derived!J58</f>
        <v/>
      </c>
      <c r="J58">
        <f>IF(OR($I58=""),"",MAX(0,MIN(1,($I58-cfg_Liq_min)/(cfg_Liq_cap-cfg_Liq_min))))</f>
        <v/>
      </c>
      <c r="K58" s="17">
        <f>Fundamentals!P58</f>
        <v/>
      </c>
      <c r="L58" s="17">
        <f>Fundamentals!Q58</f>
        <v/>
      </c>
      <c r="M58">
        <f>IF(AND($K58="",$L58=""),"",MIN(1,IF($K58="",0,MIN($K58,cap_DivYield)/cap_DivYield)*0.5+IF($L58="",0,MIN($L58,cap_BuybackYield)/cap_BuybackYield)*0.5))</f>
        <v/>
      </c>
      <c r="N58">
        <f>IF($A58="","",AVERAGE(IF(Fundamentals!R58="",0,Fundamentals!R58),IF(Fundamentals!S58="",0,Fundamentals!S58),IF(Fundamentals!T58="",0,Fundamentals!T58)))</f>
        <v/>
      </c>
      <c r="O58">
        <f>IF($A58="","",MAX(0,MIN(1,$N58)))</f>
        <v/>
      </c>
      <c r="P58" s="18">
        <f>IF($A58="","",ROUND(w_PBR*$F58+w_NetCash*$H58+w_Liq*$J58+w_Return*$M58+w_GovAct*$O58,2))</f>
        <v/>
      </c>
      <c r="Q58" s="19">
        <f>IF($A58="","",$P58+(100000-ROW())/100000000)</f>
        <v/>
      </c>
      <c r="R58">
        <f>IF($A58="","",IF($D58&lt;&gt;1,"",RANK.EQ($Q58,$Q$3:$Q$202,0)))</f>
        <v/>
      </c>
      <c r="S58">
        <f>IF($A58="","",IF($D58=1,"",Derived!L58))</f>
        <v/>
      </c>
      <c r="T58" s="19">
        <f>IF($D58=1,$Q58,"")</f>
        <v/>
      </c>
    </row>
    <row r="59">
      <c r="A59">
        <f>Derived!A59</f>
        <v/>
      </c>
      <c r="B59">
        <f>Derived!B59</f>
        <v/>
      </c>
      <c r="C59">
        <f>Derived!C59</f>
        <v/>
      </c>
      <c r="D59">
        <f>Derived!K59</f>
        <v/>
      </c>
      <c r="E59" s="16">
        <f>Derived!F59</f>
        <v/>
      </c>
      <c r="F59">
        <f>IF(OR($E59=""),"",MAX(0,MIN(1,(cfg_PBR_max-MIN($E59,cfg_PBR_max))/(cfg_PBR_max-cfg_PBR_floor))))</f>
        <v/>
      </c>
      <c r="G59" s="17">
        <f>Derived!H59</f>
        <v/>
      </c>
      <c r="H59">
        <f>IF(OR($G59=""),"",MAX(0,MIN(1,MIN($G59,cap_NetCashPct)/cap_NetCashPct)))</f>
        <v/>
      </c>
      <c r="I59" s="15">
        <f>Derived!J59</f>
        <v/>
      </c>
      <c r="J59">
        <f>IF(OR($I59=""),"",MAX(0,MIN(1,($I59-cfg_Liq_min)/(cfg_Liq_cap-cfg_Liq_min))))</f>
        <v/>
      </c>
      <c r="K59" s="17">
        <f>Fundamentals!P59</f>
        <v/>
      </c>
      <c r="L59" s="17">
        <f>Fundamentals!Q59</f>
        <v/>
      </c>
      <c r="M59">
        <f>IF(AND($K59="",$L59=""),"",MIN(1,IF($K59="",0,MIN($K59,cap_DivYield)/cap_DivYield)*0.5+IF($L59="",0,MIN($L59,cap_BuybackYield)/cap_BuybackYield)*0.5))</f>
        <v/>
      </c>
      <c r="N59">
        <f>IF($A59="","",AVERAGE(IF(Fundamentals!R59="",0,Fundamentals!R59),IF(Fundamentals!S59="",0,Fundamentals!S59),IF(Fundamentals!T59="",0,Fundamentals!T59)))</f>
        <v/>
      </c>
      <c r="O59">
        <f>IF($A59="","",MAX(0,MIN(1,$N59)))</f>
        <v/>
      </c>
      <c r="P59" s="18">
        <f>IF($A59="","",ROUND(w_PBR*$F59+w_NetCash*$H59+w_Liq*$J59+w_Return*$M59+w_GovAct*$O59,2))</f>
        <v/>
      </c>
      <c r="Q59" s="19">
        <f>IF($A59="","",$P59+(100000-ROW())/100000000)</f>
        <v/>
      </c>
      <c r="R59">
        <f>IF($A59="","",IF($D59&lt;&gt;1,"",RANK.EQ($Q59,$Q$3:$Q$202,0)))</f>
        <v/>
      </c>
      <c r="S59">
        <f>IF($A59="","",IF($D59=1,"",Derived!L59))</f>
        <v/>
      </c>
      <c r="T59" s="19">
        <f>IF($D59=1,$Q59,"")</f>
        <v/>
      </c>
    </row>
    <row r="60">
      <c r="A60">
        <f>Derived!A60</f>
        <v/>
      </c>
      <c r="B60">
        <f>Derived!B60</f>
        <v/>
      </c>
      <c r="C60">
        <f>Derived!C60</f>
        <v/>
      </c>
      <c r="D60">
        <f>Derived!K60</f>
        <v/>
      </c>
      <c r="E60" s="16">
        <f>Derived!F60</f>
        <v/>
      </c>
      <c r="F60">
        <f>IF(OR($E60=""),"",MAX(0,MIN(1,(cfg_PBR_max-MIN($E60,cfg_PBR_max))/(cfg_PBR_max-cfg_PBR_floor))))</f>
        <v/>
      </c>
      <c r="G60" s="17">
        <f>Derived!H60</f>
        <v/>
      </c>
      <c r="H60">
        <f>IF(OR($G60=""),"",MAX(0,MIN(1,MIN($G60,cap_NetCashPct)/cap_NetCashPct)))</f>
        <v/>
      </c>
      <c r="I60" s="15">
        <f>Derived!J60</f>
        <v/>
      </c>
      <c r="J60">
        <f>IF(OR($I60=""),"",MAX(0,MIN(1,($I60-cfg_Liq_min)/(cfg_Liq_cap-cfg_Liq_min))))</f>
        <v/>
      </c>
      <c r="K60" s="17">
        <f>Fundamentals!P60</f>
        <v/>
      </c>
      <c r="L60" s="17">
        <f>Fundamentals!Q60</f>
        <v/>
      </c>
      <c r="M60">
        <f>IF(AND($K60="",$L60=""),"",MIN(1,IF($K60="",0,MIN($K60,cap_DivYield)/cap_DivYield)*0.5+IF($L60="",0,MIN($L60,cap_BuybackYield)/cap_BuybackYield)*0.5))</f>
        <v/>
      </c>
      <c r="N60">
        <f>IF($A60="","",AVERAGE(IF(Fundamentals!R60="",0,Fundamentals!R60),IF(Fundamentals!S60="",0,Fundamentals!S60),IF(Fundamentals!T60="",0,Fundamentals!T60)))</f>
        <v/>
      </c>
      <c r="O60">
        <f>IF($A60="","",MAX(0,MIN(1,$N60)))</f>
        <v/>
      </c>
      <c r="P60" s="18">
        <f>IF($A60="","",ROUND(w_PBR*$F60+w_NetCash*$H60+w_Liq*$J60+w_Return*$M60+w_GovAct*$O60,2))</f>
        <v/>
      </c>
      <c r="Q60" s="19">
        <f>IF($A60="","",$P60+(100000-ROW())/100000000)</f>
        <v/>
      </c>
      <c r="R60">
        <f>IF($A60="","",IF($D60&lt;&gt;1,"",RANK.EQ($Q60,$Q$3:$Q$202,0)))</f>
        <v/>
      </c>
      <c r="S60">
        <f>IF($A60="","",IF($D60=1,"",Derived!L60))</f>
        <v/>
      </c>
      <c r="T60" s="19">
        <f>IF($D60=1,$Q60,"")</f>
        <v/>
      </c>
    </row>
    <row r="61">
      <c r="A61">
        <f>Derived!A61</f>
        <v/>
      </c>
      <c r="B61">
        <f>Derived!B61</f>
        <v/>
      </c>
      <c r="C61">
        <f>Derived!C61</f>
        <v/>
      </c>
      <c r="D61">
        <f>Derived!K61</f>
        <v/>
      </c>
      <c r="E61" s="16">
        <f>Derived!F61</f>
        <v/>
      </c>
      <c r="F61">
        <f>IF(OR($E61=""),"",MAX(0,MIN(1,(cfg_PBR_max-MIN($E61,cfg_PBR_max))/(cfg_PBR_max-cfg_PBR_floor))))</f>
        <v/>
      </c>
      <c r="G61" s="17">
        <f>Derived!H61</f>
        <v/>
      </c>
      <c r="H61">
        <f>IF(OR($G61=""),"",MAX(0,MIN(1,MIN($G61,cap_NetCashPct)/cap_NetCashPct)))</f>
        <v/>
      </c>
      <c r="I61" s="15">
        <f>Derived!J61</f>
        <v/>
      </c>
      <c r="J61">
        <f>IF(OR($I61=""),"",MAX(0,MIN(1,($I61-cfg_Liq_min)/(cfg_Liq_cap-cfg_Liq_min))))</f>
        <v/>
      </c>
      <c r="K61" s="17">
        <f>Fundamentals!P61</f>
        <v/>
      </c>
      <c r="L61" s="17">
        <f>Fundamentals!Q61</f>
        <v/>
      </c>
      <c r="M61">
        <f>IF(AND($K61="",$L61=""),"",MIN(1,IF($K61="",0,MIN($K61,cap_DivYield)/cap_DivYield)*0.5+IF($L61="",0,MIN($L61,cap_BuybackYield)/cap_BuybackYield)*0.5))</f>
        <v/>
      </c>
      <c r="N61">
        <f>IF($A61="","",AVERAGE(IF(Fundamentals!R61="",0,Fundamentals!R61),IF(Fundamentals!S61="",0,Fundamentals!S61),IF(Fundamentals!T61="",0,Fundamentals!T61)))</f>
        <v/>
      </c>
      <c r="O61">
        <f>IF($A61="","",MAX(0,MIN(1,$N61)))</f>
        <v/>
      </c>
      <c r="P61" s="18">
        <f>IF($A61="","",ROUND(w_PBR*$F61+w_NetCash*$H61+w_Liq*$J61+w_Return*$M61+w_GovAct*$O61,2))</f>
        <v/>
      </c>
      <c r="Q61" s="19">
        <f>IF($A61="","",$P61+(100000-ROW())/100000000)</f>
        <v/>
      </c>
      <c r="R61">
        <f>IF($A61="","",IF($D61&lt;&gt;1,"",RANK.EQ($Q61,$Q$3:$Q$202,0)))</f>
        <v/>
      </c>
      <c r="S61">
        <f>IF($A61="","",IF($D61=1,"",Derived!L61))</f>
        <v/>
      </c>
      <c r="T61" s="19">
        <f>IF($D61=1,$Q61,"")</f>
        <v/>
      </c>
    </row>
    <row r="62">
      <c r="A62">
        <f>Derived!A62</f>
        <v/>
      </c>
      <c r="B62">
        <f>Derived!B62</f>
        <v/>
      </c>
      <c r="C62">
        <f>Derived!C62</f>
        <v/>
      </c>
      <c r="D62">
        <f>Derived!K62</f>
        <v/>
      </c>
      <c r="E62" s="16">
        <f>Derived!F62</f>
        <v/>
      </c>
      <c r="F62">
        <f>IF(OR($E62=""),"",MAX(0,MIN(1,(cfg_PBR_max-MIN($E62,cfg_PBR_max))/(cfg_PBR_max-cfg_PBR_floor))))</f>
        <v/>
      </c>
      <c r="G62" s="17">
        <f>Derived!H62</f>
        <v/>
      </c>
      <c r="H62">
        <f>IF(OR($G62=""),"",MAX(0,MIN(1,MIN($G62,cap_NetCashPct)/cap_NetCashPct)))</f>
        <v/>
      </c>
      <c r="I62" s="15">
        <f>Derived!J62</f>
        <v/>
      </c>
      <c r="J62">
        <f>IF(OR($I62=""),"",MAX(0,MIN(1,($I62-cfg_Liq_min)/(cfg_Liq_cap-cfg_Liq_min))))</f>
        <v/>
      </c>
      <c r="K62" s="17">
        <f>Fundamentals!P62</f>
        <v/>
      </c>
      <c r="L62" s="17">
        <f>Fundamentals!Q62</f>
        <v/>
      </c>
      <c r="M62">
        <f>IF(AND($K62="",$L62=""),"",MIN(1,IF($K62="",0,MIN($K62,cap_DivYield)/cap_DivYield)*0.5+IF($L62="",0,MIN($L62,cap_BuybackYield)/cap_BuybackYield)*0.5))</f>
        <v/>
      </c>
      <c r="N62">
        <f>IF($A62="","",AVERAGE(IF(Fundamentals!R62="",0,Fundamentals!R62),IF(Fundamentals!S62="",0,Fundamentals!S62),IF(Fundamentals!T62="",0,Fundamentals!T62)))</f>
        <v/>
      </c>
      <c r="O62">
        <f>IF($A62="","",MAX(0,MIN(1,$N62)))</f>
        <v/>
      </c>
      <c r="P62" s="18">
        <f>IF($A62="","",ROUND(w_PBR*$F62+w_NetCash*$H62+w_Liq*$J62+w_Return*$M62+w_GovAct*$O62,2))</f>
        <v/>
      </c>
      <c r="Q62" s="19">
        <f>IF($A62="","",$P62+(100000-ROW())/100000000)</f>
        <v/>
      </c>
      <c r="R62">
        <f>IF($A62="","",IF($D62&lt;&gt;1,"",RANK.EQ($Q62,$Q$3:$Q$202,0)))</f>
        <v/>
      </c>
      <c r="S62">
        <f>IF($A62="","",IF($D62=1,"",Derived!L62))</f>
        <v/>
      </c>
      <c r="T62" s="19">
        <f>IF($D62=1,$Q62,"")</f>
        <v/>
      </c>
    </row>
    <row r="63">
      <c r="A63">
        <f>Derived!A63</f>
        <v/>
      </c>
      <c r="B63">
        <f>Derived!B63</f>
        <v/>
      </c>
      <c r="C63">
        <f>Derived!C63</f>
        <v/>
      </c>
      <c r="D63">
        <f>Derived!K63</f>
        <v/>
      </c>
      <c r="E63" s="16">
        <f>Derived!F63</f>
        <v/>
      </c>
      <c r="F63">
        <f>IF(OR($E63=""),"",MAX(0,MIN(1,(cfg_PBR_max-MIN($E63,cfg_PBR_max))/(cfg_PBR_max-cfg_PBR_floor))))</f>
        <v/>
      </c>
      <c r="G63" s="17">
        <f>Derived!H63</f>
        <v/>
      </c>
      <c r="H63">
        <f>IF(OR($G63=""),"",MAX(0,MIN(1,MIN($G63,cap_NetCashPct)/cap_NetCashPct)))</f>
        <v/>
      </c>
      <c r="I63" s="15">
        <f>Derived!J63</f>
        <v/>
      </c>
      <c r="J63">
        <f>IF(OR($I63=""),"",MAX(0,MIN(1,($I63-cfg_Liq_min)/(cfg_Liq_cap-cfg_Liq_min))))</f>
        <v/>
      </c>
      <c r="K63" s="17">
        <f>Fundamentals!P63</f>
        <v/>
      </c>
      <c r="L63" s="17">
        <f>Fundamentals!Q63</f>
        <v/>
      </c>
      <c r="M63">
        <f>IF(AND($K63="",$L63=""),"",MIN(1,IF($K63="",0,MIN($K63,cap_DivYield)/cap_DivYield)*0.5+IF($L63="",0,MIN($L63,cap_BuybackYield)/cap_BuybackYield)*0.5))</f>
        <v/>
      </c>
      <c r="N63">
        <f>IF($A63="","",AVERAGE(IF(Fundamentals!R63="",0,Fundamentals!R63),IF(Fundamentals!S63="",0,Fundamentals!S63),IF(Fundamentals!T63="",0,Fundamentals!T63)))</f>
        <v/>
      </c>
      <c r="O63">
        <f>IF($A63="","",MAX(0,MIN(1,$N63)))</f>
        <v/>
      </c>
      <c r="P63" s="18">
        <f>IF($A63="","",ROUND(w_PBR*$F63+w_NetCash*$H63+w_Liq*$J63+w_Return*$M63+w_GovAct*$O63,2))</f>
        <v/>
      </c>
      <c r="Q63" s="19">
        <f>IF($A63="","",$P63+(100000-ROW())/100000000)</f>
        <v/>
      </c>
      <c r="R63">
        <f>IF($A63="","",IF($D63&lt;&gt;1,"",RANK.EQ($Q63,$Q$3:$Q$202,0)))</f>
        <v/>
      </c>
      <c r="S63">
        <f>IF($A63="","",IF($D63=1,"",Derived!L63))</f>
        <v/>
      </c>
      <c r="T63" s="19">
        <f>IF($D63=1,$Q63,"")</f>
        <v/>
      </c>
    </row>
    <row r="64">
      <c r="A64">
        <f>Derived!A64</f>
        <v/>
      </c>
      <c r="B64">
        <f>Derived!B64</f>
        <v/>
      </c>
      <c r="C64">
        <f>Derived!C64</f>
        <v/>
      </c>
      <c r="D64">
        <f>Derived!K64</f>
        <v/>
      </c>
      <c r="E64" s="16">
        <f>Derived!F64</f>
        <v/>
      </c>
      <c r="F64">
        <f>IF(OR($E64=""),"",MAX(0,MIN(1,(cfg_PBR_max-MIN($E64,cfg_PBR_max))/(cfg_PBR_max-cfg_PBR_floor))))</f>
        <v/>
      </c>
      <c r="G64" s="17">
        <f>Derived!H64</f>
        <v/>
      </c>
      <c r="H64">
        <f>IF(OR($G64=""),"",MAX(0,MIN(1,MIN($G64,cap_NetCashPct)/cap_NetCashPct)))</f>
        <v/>
      </c>
      <c r="I64" s="15">
        <f>Derived!J64</f>
        <v/>
      </c>
      <c r="J64">
        <f>IF(OR($I64=""),"",MAX(0,MIN(1,($I64-cfg_Liq_min)/(cfg_Liq_cap-cfg_Liq_min))))</f>
        <v/>
      </c>
      <c r="K64" s="17">
        <f>Fundamentals!P64</f>
        <v/>
      </c>
      <c r="L64" s="17">
        <f>Fundamentals!Q64</f>
        <v/>
      </c>
      <c r="M64">
        <f>IF(AND($K64="",$L64=""),"",MIN(1,IF($K64="",0,MIN($K64,cap_DivYield)/cap_DivYield)*0.5+IF($L64="",0,MIN($L64,cap_BuybackYield)/cap_BuybackYield)*0.5))</f>
        <v/>
      </c>
      <c r="N64">
        <f>IF($A64="","",AVERAGE(IF(Fundamentals!R64="",0,Fundamentals!R64),IF(Fundamentals!S64="",0,Fundamentals!S64),IF(Fundamentals!T64="",0,Fundamentals!T64)))</f>
        <v/>
      </c>
      <c r="O64">
        <f>IF($A64="","",MAX(0,MIN(1,$N64)))</f>
        <v/>
      </c>
      <c r="P64" s="18">
        <f>IF($A64="","",ROUND(w_PBR*$F64+w_NetCash*$H64+w_Liq*$J64+w_Return*$M64+w_GovAct*$O64,2))</f>
        <v/>
      </c>
      <c r="Q64" s="19">
        <f>IF($A64="","",$P64+(100000-ROW())/100000000)</f>
        <v/>
      </c>
      <c r="R64">
        <f>IF($A64="","",IF($D64&lt;&gt;1,"",RANK.EQ($Q64,$Q$3:$Q$202,0)))</f>
        <v/>
      </c>
      <c r="S64">
        <f>IF($A64="","",IF($D64=1,"",Derived!L64))</f>
        <v/>
      </c>
      <c r="T64" s="19">
        <f>IF($D64=1,$Q64,"")</f>
        <v/>
      </c>
    </row>
    <row r="65">
      <c r="A65">
        <f>Derived!A65</f>
        <v/>
      </c>
      <c r="B65">
        <f>Derived!B65</f>
        <v/>
      </c>
      <c r="C65">
        <f>Derived!C65</f>
        <v/>
      </c>
      <c r="D65">
        <f>Derived!K65</f>
        <v/>
      </c>
      <c r="E65" s="16">
        <f>Derived!F65</f>
        <v/>
      </c>
      <c r="F65">
        <f>IF(OR($E65=""),"",MAX(0,MIN(1,(cfg_PBR_max-MIN($E65,cfg_PBR_max))/(cfg_PBR_max-cfg_PBR_floor))))</f>
        <v/>
      </c>
      <c r="G65" s="17">
        <f>Derived!H65</f>
        <v/>
      </c>
      <c r="H65">
        <f>IF(OR($G65=""),"",MAX(0,MIN(1,MIN($G65,cap_NetCashPct)/cap_NetCashPct)))</f>
        <v/>
      </c>
      <c r="I65" s="15">
        <f>Derived!J65</f>
        <v/>
      </c>
      <c r="J65">
        <f>IF(OR($I65=""),"",MAX(0,MIN(1,($I65-cfg_Liq_min)/(cfg_Liq_cap-cfg_Liq_min))))</f>
        <v/>
      </c>
      <c r="K65" s="17">
        <f>Fundamentals!P65</f>
        <v/>
      </c>
      <c r="L65" s="17">
        <f>Fundamentals!Q65</f>
        <v/>
      </c>
      <c r="M65">
        <f>IF(AND($K65="",$L65=""),"",MIN(1,IF($K65="",0,MIN($K65,cap_DivYield)/cap_DivYield)*0.5+IF($L65="",0,MIN($L65,cap_BuybackYield)/cap_BuybackYield)*0.5))</f>
        <v/>
      </c>
      <c r="N65">
        <f>IF($A65="","",AVERAGE(IF(Fundamentals!R65="",0,Fundamentals!R65),IF(Fundamentals!S65="",0,Fundamentals!S65),IF(Fundamentals!T65="",0,Fundamentals!T65)))</f>
        <v/>
      </c>
      <c r="O65">
        <f>IF($A65="","",MAX(0,MIN(1,$N65)))</f>
        <v/>
      </c>
      <c r="P65" s="18">
        <f>IF($A65="","",ROUND(w_PBR*$F65+w_NetCash*$H65+w_Liq*$J65+w_Return*$M65+w_GovAct*$O65,2))</f>
        <v/>
      </c>
      <c r="Q65" s="19">
        <f>IF($A65="","",$P65+(100000-ROW())/100000000)</f>
        <v/>
      </c>
      <c r="R65">
        <f>IF($A65="","",IF($D65&lt;&gt;1,"",RANK.EQ($Q65,$Q$3:$Q$202,0)))</f>
        <v/>
      </c>
      <c r="S65">
        <f>IF($A65="","",IF($D65=1,"",Derived!L65))</f>
        <v/>
      </c>
      <c r="T65" s="19">
        <f>IF($D65=1,$Q65,"")</f>
        <v/>
      </c>
    </row>
    <row r="66">
      <c r="A66">
        <f>Derived!A66</f>
        <v/>
      </c>
      <c r="B66">
        <f>Derived!B66</f>
        <v/>
      </c>
      <c r="C66">
        <f>Derived!C66</f>
        <v/>
      </c>
      <c r="D66">
        <f>Derived!K66</f>
        <v/>
      </c>
      <c r="E66" s="16">
        <f>Derived!F66</f>
        <v/>
      </c>
      <c r="F66">
        <f>IF(OR($E66=""),"",MAX(0,MIN(1,(cfg_PBR_max-MIN($E66,cfg_PBR_max))/(cfg_PBR_max-cfg_PBR_floor))))</f>
        <v/>
      </c>
      <c r="G66" s="17">
        <f>Derived!H66</f>
        <v/>
      </c>
      <c r="H66">
        <f>IF(OR($G66=""),"",MAX(0,MIN(1,MIN($G66,cap_NetCashPct)/cap_NetCashPct)))</f>
        <v/>
      </c>
      <c r="I66" s="15">
        <f>Derived!J66</f>
        <v/>
      </c>
      <c r="J66">
        <f>IF(OR($I66=""),"",MAX(0,MIN(1,($I66-cfg_Liq_min)/(cfg_Liq_cap-cfg_Liq_min))))</f>
        <v/>
      </c>
      <c r="K66" s="17">
        <f>Fundamentals!P66</f>
        <v/>
      </c>
      <c r="L66" s="17">
        <f>Fundamentals!Q66</f>
        <v/>
      </c>
      <c r="M66">
        <f>IF(AND($K66="",$L66=""),"",MIN(1,IF($K66="",0,MIN($K66,cap_DivYield)/cap_DivYield)*0.5+IF($L66="",0,MIN($L66,cap_BuybackYield)/cap_BuybackYield)*0.5))</f>
        <v/>
      </c>
      <c r="N66">
        <f>IF($A66="","",AVERAGE(IF(Fundamentals!R66="",0,Fundamentals!R66),IF(Fundamentals!S66="",0,Fundamentals!S66),IF(Fundamentals!T66="",0,Fundamentals!T66)))</f>
        <v/>
      </c>
      <c r="O66">
        <f>IF($A66="","",MAX(0,MIN(1,$N66)))</f>
        <v/>
      </c>
      <c r="P66" s="18">
        <f>IF($A66="","",ROUND(w_PBR*$F66+w_NetCash*$H66+w_Liq*$J66+w_Return*$M66+w_GovAct*$O66,2))</f>
        <v/>
      </c>
      <c r="Q66" s="19">
        <f>IF($A66="","",$P66+(100000-ROW())/100000000)</f>
        <v/>
      </c>
      <c r="R66">
        <f>IF($A66="","",IF($D66&lt;&gt;1,"",RANK.EQ($Q66,$Q$3:$Q$202,0)))</f>
        <v/>
      </c>
      <c r="S66">
        <f>IF($A66="","",IF($D66=1,"",Derived!L66))</f>
        <v/>
      </c>
      <c r="T66" s="19">
        <f>IF($D66=1,$Q66,"")</f>
        <v/>
      </c>
    </row>
    <row r="67">
      <c r="A67">
        <f>Derived!A67</f>
        <v/>
      </c>
      <c r="B67">
        <f>Derived!B67</f>
        <v/>
      </c>
      <c r="C67">
        <f>Derived!C67</f>
        <v/>
      </c>
      <c r="D67">
        <f>Derived!K67</f>
        <v/>
      </c>
      <c r="E67" s="16">
        <f>Derived!F67</f>
        <v/>
      </c>
      <c r="F67">
        <f>IF(OR($E67=""),"",MAX(0,MIN(1,(cfg_PBR_max-MIN($E67,cfg_PBR_max))/(cfg_PBR_max-cfg_PBR_floor))))</f>
        <v/>
      </c>
      <c r="G67" s="17">
        <f>Derived!H67</f>
        <v/>
      </c>
      <c r="H67">
        <f>IF(OR($G67=""),"",MAX(0,MIN(1,MIN($G67,cap_NetCashPct)/cap_NetCashPct)))</f>
        <v/>
      </c>
      <c r="I67" s="15">
        <f>Derived!J67</f>
        <v/>
      </c>
      <c r="J67">
        <f>IF(OR($I67=""),"",MAX(0,MIN(1,($I67-cfg_Liq_min)/(cfg_Liq_cap-cfg_Liq_min))))</f>
        <v/>
      </c>
      <c r="K67" s="17">
        <f>Fundamentals!P67</f>
        <v/>
      </c>
      <c r="L67" s="17">
        <f>Fundamentals!Q67</f>
        <v/>
      </c>
      <c r="M67">
        <f>IF(AND($K67="",$L67=""),"",MIN(1,IF($K67="",0,MIN($K67,cap_DivYield)/cap_DivYield)*0.5+IF($L67="",0,MIN($L67,cap_BuybackYield)/cap_BuybackYield)*0.5))</f>
        <v/>
      </c>
      <c r="N67">
        <f>IF($A67="","",AVERAGE(IF(Fundamentals!R67="",0,Fundamentals!R67),IF(Fundamentals!S67="",0,Fundamentals!S67),IF(Fundamentals!T67="",0,Fundamentals!T67)))</f>
        <v/>
      </c>
      <c r="O67">
        <f>IF($A67="","",MAX(0,MIN(1,$N67)))</f>
        <v/>
      </c>
      <c r="P67" s="18">
        <f>IF($A67="","",ROUND(w_PBR*$F67+w_NetCash*$H67+w_Liq*$J67+w_Return*$M67+w_GovAct*$O67,2))</f>
        <v/>
      </c>
      <c r="Q67" s="19">
        <f>IF($A67="","",$P67+(100000-ROW())/100000000)</f>
        <v/>
      </c>
      <c r="R67">
        <f>IF($A67="","",IF($D67&lt;&gt;1,"",RANK.EQ($Q67,$Q$3:$Q$202,0)))</f>
        <v/>
      </c>
      <c r="S67">
        <f>IF($A67="","",IF($D67=1,"",Derived!L67))</f>
        <v/>
      </c>
      <c r="T67" s="19">
        <f>IF($D67=1,$Q67,"")</f>
        <v/>
      </c>
    </row>
    <row r="68">
      <c r="A68">
        <f>Derived!A68</f>
        <v/>
      </c>
      <c r="B68">
        <f>Derived!B68</f>
        <v/>
      </c>
      <c r="C68">
        <f>Derived!C68</f>
        <v/>
      </c>
      <c r="D68">
        <f>Derived!K68</f>
        <v/>
      </c>
      <c r="E68" s="16">
        <f>Derived!F68</f>
        <v/>
      </c>
      <c r="F68">
        <f>IF(OR($E68=""),"",MAX(0,MIN(1,(cfg_PBR_max-MIN($E68,cfg_PBR_max))/(cfg_PBR_max-cfg_PBR_floor))))</f>
        <v/>
      </c>
      <c r="G68" s="17">
        <f>Derived!H68</f>
        <v/>
      </c>
      <c r="H68">
        <f>IF(OR($G68=""),"",MAX(0,MIN(1,MIN($G68,cap_NetCashPct)/cap_NetCashPct)))</f>
        <v/>
      </c>
      <c r="I68" s="15">
        <f>Derived!J68</f>
        <v/>
      </c>
      <c r="J68">
        <f>IF(OR($I68=""),"",MAX(0,MIN(1,($I68-cfg_Liq_min)/(cfg_Liq_cap-cfg_Liq_min))))</f>
        <v/>
      </c>
      <c r="K68" s="17">
        <f>Fundamentals!P68</f>
        <v/>
      </c>
      <c r="L68" s="17">
        <f>Fundamentals!Q68</f>
        <v/>
      </c>
      <c r="M68">
        <f>IF(AND($K68="",$L68=""),"",MIN(1,IF($K68="",0,MIN($K68,cap_DivYield)/cap_DivYield)*0.5+IF($L68="",0,MIN($L68,cap_BuybackYield)/cap_BuybackYield)*0.5))</f>
        <v/>
      </c>
      <c r="N68">
        <f>IF($A68="","",AVERAGE(IF(Fundamentals!R68="",0,Fundamentals!R68),IF(Fundamentals!S68="",0,Fundamentals!S68),IF(Fundamentals!T68="",0,Fundamentals!T68)))</f>
        <v/>
      </c>
      <c r="O68">
        <f>IF($A68="","",MAX(0,MIN(1,$N68)))</f>
        <v/>
      </c>
      <c r="P68" s="18">
        <f>IF($A68="","",ROUND(w_PBR*$F68+w_NetCash*$H68+w_Liq*$J68+w_Return*$M68+w_GovAct*$O68,2))</f>
        <v/>
      </c>
      <c r="Q68" s="19">
        <f>IF($A68="","",$P68+(100000-ROW())/100000000)</f>
        <v/>
      </c>
      <c r="R68">
        <f>IF($A68="","",IF($D68&lt;&gt;1,"",RANK.EQ($Q68,$Q$3:$Q$202,0)))</f>
        <v/>
      </c>
      <c r="S68">
        <f>IF($A68="","",IF($D68=1,"",Derived!L68))</f>
        <v/>
      </c>
      <c r="T68" s="19">
        <f>IF($D68=1,$Q68,"")</f>
        <v/>
      </c>
    </row>
    <row r="69">
      <c r="A69">
        <f>Derived!A69</f>
        <v/>
      </c>
      <c r="B69">
        <f>Derived!B69</f>
        <v/>
      </c>
      <c r="C69">
        <f>Derived!C69</f>
        <v/>
      </c>
      <c r="D69">
        <f>Derived!K69</f>
        <v/>
      </c>
      <c r="E69" s="16">
        <f>Derived!F69</f>
        <v/>
      </c>
      <c r="F69">
        <f>IF(OR($E69=""),"",MAX(0,MIN(1,(cfg_PBR_max-MIN($E69,cfg_PBR_max))/(cfg_PBR_max-cfg_PBR_floor))))</f>
        <v/>
      </c>
      <c r="G69" s="17">
        <f>Derived!H69</f>
        <v/>
      </c>
      <c r="H69">
        <f>IF(OR($G69=""),"",MAX(0,MIN(1,MIN($G69,cap_NetCashPct)/cap_NetCashPct)))</f>
        <v/>
      </c>
      <c r="I69" s="15">
        <f>Derived!J69</f>
        <v/>
      </c>
      <c r="J69">
        <f>IF(OR($I69=""),"",MAX(0,MIN(1,($I69-cfg_Liq_min)/(cfg_Liq_cap-cfg_Liq_min))))</f>
        <v/>
      </c>
      <c r="K69" s="17">
        <f>Fundamentals!P69</f>
        <v/>
      </c>
      <c r="L69" s="17">
        <f>Fundamentals!Q69</f>
        <v/>
      </c>
      <c r="M69">
        <f>IF(AND($K69="",$L69=""),"",MIN(1,IF($K69="",0,MIN($K69,cap_DivYield)/cap_DivYield)*0.5+IF($L69="",0,MIN($L69,cap_BuybackYield)/cap_BuybackYield)*0.5))</f>
        <v/>
      </c>
      <c r="N69">
        <f>IF($A69="","",AVERAGE(IF(Fundamentals!R69="",0,Fundamentals!R69),IF(Fundamentals!S69="",0,Fundamentals!S69),IF(Fundamentals!T69="",0,Fundamentals!T69)))</f>
        <v/>
      </c>
      <c r="O69">
        <f>IF($A69="","",MAX(0,MIN(1,$N69)))</f>
        <v/>
      </c>
      <c r="P69" s="18">
        <f>IF($A69="","",ROUND(w_PBR*$F69+w_NetCash*$H69+w_Liq*$J69+w_Return*$M69+w_GovAct*$O69,2))</f>
        <v/>
      </c>
      <c r="Q69" s="19">
        <f>IF($A69="","",$P69+(100000-ROW())/100000000)</f>
        <v/>
      </c>
      <c r="R69">
        <f>IF($A69="","",IF($D69&lt;&gt;1,"",RANK.EQ($Q69,$Q$3:$Q$202,0)))</f>
        <v/>
      </c>
      <c r="S69">
        <f>IF($A69="","",IF($D69=1,"",Derived!L69))</f>
        <v/>
      </c>
      <c r="T69" s="19">
        <f>IF($D69=1,$Q69,"")</f>
        <v/>
      </c>
    </row>
    <row r="70">
      <c r="A70">
        <f>Derived!A70</f>
        <v/>
      </c>
      <c r="B70">
        <f>Derived!B70</f>
        <v/>
      </c>
      <c r="C70">
        <f>Derived!C70</f>
        <v/>
      </c>
      <c r="D70">
        <f>Derived!K70</f>
        <v/>
      </c>
      <c r="E70" s="16">
        <f>Derived!F70</f>
        <v/>
      </c>
      <c r="F70">
        <f>IF(OR($E70=""),"",MAX(0,MIN(1,(cfg_PBR_max-MIN($E70,cfg_PBR_max))/(cfg_PBR_max-cfg_PBR_floor))))</f>
        <v/>
      </c>
      <c r="G70" s="17">
        <f>Derived!H70</f>
        <v/>
      </c>
      <c r="H70">
        <f>IF(OR($G70=""),"",MAX(0,MIN(1,MIN($G70,cap_NetCashPct)/cap_NetCashPct)))</f>
        <v/>
      </c>
      <c r="I70" s="15">
        <f>Derived!J70</f>
        <v/>
      </c>
      <c r="J70">
        <f>IF(OR($I70=""),"",MAX(0,MIN(1,($I70-cfg_Liq_min)/(cfg_Liq_cap-cfg_Liq_min))))</f>
        <v/>
      </c>
      <c r="K70" s="17">
        <f>Fundamentals!P70</f>
        <v/>
      </c>
      <c r="L70" s="17">
        <f>Fundamentals!Q70</f>
        <v/>
      </c>
      <c r="M70">
        <f>IF(AND($K70="",$L70=""),"",MIN(1,IF($K70="",0,MIN($K70,cap_DivYield)/cap_DivYield)*0.5+IF($L70="",0,MIN($L70,cap_BuybackYield)/cap_BuybackYield)*0.5))</f>
        <v/>
      </c>
      <c r="N70">
        <f>IF($A70="","",AVERAGE(IF(Fundamentals!R70="",0,Fundamentals!R70),IF(Fundamentals!S70="",0,Fundamentals!S70),IF(Fundamentals!T70="",0,Fundamentals!T70)))</f>
        <v/>
      </c>
      <c r="O70">
        <f>IF($A70="","",MAX(0,MIN(1,$N70)))</f>
        <v/>
      </c>
      <c r="P70" s="18">
        <f>IF($A70="","",ROUND(w_PBR*$F70+w_NetCash*$H70+w_Liq*$J70+w_Return*$M70+w_GovAct*$O70,2))</f>
        <v/>
      </c>
      <c r="Q70" s="19">
        <f>IF($A70="","",$P70+(100000-ROW())/100000000)</f>
        <v/>
      </c>
      <c r="R70">
        <f>IF($A70="","",IF($D70&lt;&gt;1,"",RANK.EQ($Q70,$Q$3:$Q$202,0)))</f>
        <v/>
      </c>
      <c r="S70">
        <f>IF($A70="","",IF($D70=1,"",Derived!L70))</f>
        <v/>
      </c>
      <c r="T70" s="19">
        <f>IF($D70=1,$Q70,"")</f>
        <v/>
      </c>
    </row>
    <row r="71">
      <c r="A71">
        <f>Derived!A71</f>
        <v/>
      </c>
      <c r="B71">
        <f>Derived!B71</f>
        <v/>
      </c>
      <c r="C71">
        <f>Derived!C71</f>
        <v/>
      </c>
      <c r="D71">
        <f>Derived!K71</f>
        <v/>
      </c>
      <c r="E71" s="16">
        <f>Derived!F71</f>
        <v/>
      </c>
      <c r="F71">
        <f>IF(OR($E71=""),"",MAX(0,MIN(1,(cfg_PBR_max-MIN($E71,cfg_PBR_max))/(cfg_PBR_max-cfg_PBR_floor))))</f>
        <v/>
      </c>
      <c r="G71" s="17">
        <f>Derived!H71</f>
        <v/>
      </c>
      <c r="H71">
        <f>IF(OR($G71=""),"",MAX(0,MIN(1,MIN($G71,cap_NetCashPct)/cap_NetCashPct)))</f>
        <v/>
      </c>
      <c r="I71" s="15">
        <f>Derived!J71</f>
        <v/>
      </c>
      <c r="J71">
        <f>IF(OR($I71=""),"",MAX(0,MIN(1,($I71-cfg_Liq_min)/(cfg_Liq_cap-cfg_Liq_min))))</f>
        <v/>
      </c>
      <c r="K71" s="17">
        <f>Fundamentals!P71</f>
        <v/>
      </c>
      <c r="L71" s="17">
        <f>Fundamentals!Q71</f>
        <v/>
      </c>
      <c r="M71">
        <f>IF(AND($K71="",$L71=""),"",MIN(1,IF($K71="",0,MIN($K71,cap_DivYield)/cap_DivYield)*0.5+IF($L71="",0,MIN($L71,cap_BuybackYield)/cap_BuybackYield)*0.5))</f>
        <v/>
      </c>
      <c r="N71">
        <f>IF($A71="","",AVERAGE(IF(Fundamentals!R71="",0,Fundamentals!R71),IF(Fundamentals!S71="",0,Fundamentals!S71),IF(Fundamentals!T71="",0,Fundamentals!T71)))</f>
        <v/>
      </c>
      <c r="O71">
        <f>IF($A71="","",MAX(0,MIN(1,$N71)))</f>
        <v/>
      </c>
      <c r="P71" s="18">
        <f>IF($A71="","",ROUND(w_PBR*$F71+w_NetCash*$H71+w_Liq*$J71+w_Return*$M71+w_GovAct*$O71,2))</f>
        <v/>
      </c>
      <c r="Q71" s="19">
        <f>IF($A71="","",$P71+(100000-ROW())/100000000)</f>
        <v/>
      </c>
      <c r="R71">
        <f>IF($A71="","",IF($D71&lt;&gt;1,"",RANK.EQ($Q71,$Q$3:$Q$202,0)))</f>
        <v/>
      </c>
      <c r="S71">
        <f>IF($A71="","",IF($D71=1,"",Derived!L71))</f>
        <v/>
      </c>
      <c r="T71" s="19">
        <f>IF($D71=1,$Q71,"")</f>
        <v/>
      </c>
    </row>
    <row r="72">
      <c r="A72">
        <f>Derived!A72</f>
        <v/>
      </c>
      <c r="B72">
        <f>Derived!B72</f>
        <v/>
      </c>
      <c r="C72">
        <f>Derived!C72</f>
        <v/>
      </c>
      <c r="D72">
        <f>Derived!K72</f>
        <v/>
      </c>
      <c r="E72" s="16">
        <f>Derived!F72</f>
        <v/>
      </c>
      <c r="F72">
        <f>IF(OR($E72=""),"",MAX(0,MIN(1,(cfg_PBR_max-MIN($E72,cfg_PBR_max))/(cfg_PBR_max-cfg_PBR_floor))))</f>
        <v/>
      </c>
      <c r="G72" s="17">
        <f>Derived!H72</f>
        <v/>
      </c>
      <c r="H72">
        <f>IF(OR($G72=""),"",MAX(0,MIN(1,MIN($G72,cap_NetCashPct)/cap_NetCashPct)))</f>
        <v/>
      </c>
      <c r="I72" s="15">
        <f>Derived!J72</f>
        <v/>
      </c>
      <c r="J72">
        <f>IF(OR($I72=""),"",MAX(0,MIN(1,($I72-cfg_Liq_min)/(cfg_Liq_cap-cfg_Liq_min))))</f>
        <v/>
      </c>
      <c r="K72" s="17">
        <f>Fundamentals!P72</f>
        <v/>
      </c>
      <c r="L72" s="17">
        <f>Fundamentals!Q72</f>
        <v/>
      </c>
      <c r="M72">
        <f>IF(AND($K72="",$L72=""),"",MIN(1,IF($K72="",0,MIN($K72,cap_DivYield)/cap_DivYield)*0.5+IF($L72="",0,MIN($L72,cap_BuybackYield)/cap_BuybackYield)*0.5))</f>
        <v/>
      </c>
      <c r="N72">
        <f>IF($A72="","",AVERAGE(IF(Fundamentals!R72="",0,Fundamentals!R72),IF(Fundamentals!S72="",0,Fundamentals!S72),IF(Fundamentals!T72="",0,Fundamentals!T72)))</f>
        <v/>
      </c>
      <c r="O72">
        <f>IF($A72="","",MAX(0,MIN(1,$N72)))</f>
        <v/>
      </c>
      <c r="P72" s="18">
        <f>IF($A72="","",ROUND(w_PBR*$F72+w_NetCash*$H72+w_Liq*$J72+w_Return*$M72+w_GovAct*$O72,2))</f>
        <v/>
      </c>
      <c r="Q72" s="19">
        <f>IF($A72="","",$P72+(100000-ROW())/100000000)</f>
        <v/>
      </c>
      <c r="R72">
        <f>IF($A72="","",IF($D72&lt;&gt;1,"",RANK.EQ($Q72,$Q$3:$Q$202,0)))</f>
        <v/>
      </c>
      <c r="S72">
        <f>IF($A72="","",IF($D72=1,"",Derived!L72))</f>
        <v/>
      </c>
      <c r="T72" s="19">
        <f>IF($D72=1,$Q72,"")</f>
        <v/>
      </c>
    </row>
    <row r="73">
      <c r="A73">
        <f>Derived!A73</f>
        <v/>
      </c>
      <c r="B73">
        <f>Derived!B73</f>
        <v/>
      </c>
      <c r="C73">
        <f>Derived!C73</f>
        <v/>
      </c>
      <c r="D73">
        <f>Derived!K73</f>
        <v/>
      </c>
      <c r="E73" s="16">
        <f>Derived!F73</f>
        <v/>
      </c>
      <c r="F73">
        <f>IF(OR($E73=""),"",MAX(0,MIN(1,(cfg_PBR_max-MIN($E73,cfg_PBR_max))/(cfg_PBR_max-cfg_PBR_floor))))</f>
        <v/>
      </c>
      <c r="G73" s="17">
        <f>Derived!H73</f>
        <v/>
      </c>
      <c r="H73">
        <f>IF(OR($G73=""),"",MAX(0,MIN(1,MIN($G73,cap_NetCashPct)/cap_NetCashPct)))</f>
        <v/>
      </c>
      <c r="I73" s="15">
        <f>Derived!J73</f>
        <v/>
      </c>
      <c r="J73">
        <f>IF(OR($I73=""),"",MAX(0,MIN(1,($I73-cfg_Liq_min)/(cfg_Liq_cap-cfg_Liq_min))))</f>
        <v/>
      </c>
      <c r="K73" s="17">
        <f>Fundamentals!P73</f>
        <v/>
      </c>
      <c r="L73" s="17">
        <f>Fundamentals!Q73</f>
        <v/>
      </c>
      <c r="M73">
        <f>IF(AND($K73="",$L73=""),"",MIN(1,IF($K73="",0,MIN($K73,cap_DivYield)/cap_DivYield)*0.5+IF($L73="",0,MIN($L73,cap_BuybackYield)/cap_BuybackYield)*0.5))</f>
        <v/>
      </c>
      <c r="N73">
        <f>IF($A73="","",AVERAGE(IF(Fundamentals!R73="",0,Fundamentals!R73),IF(Fundamentals!S73="",0,Fundamentals!S73),IF(Fundamentals!T73="",0,Fundamentals!T73)))</f>
        <v/>
      </c>
      <c r="O73">
        <f>IF($A73="","",MAX(0,MIN(1,$N73)))</f>
        <v/>
      </c>
      <c r="P73" s="18">
        <f>IF($A73="","",ROUND(w_PBR*$F73+w_NetCash*$H73+w_Liq*$J73+w_Return*$M73+w_GovAct*$O73,2))</f>
        <v/>
      </c>
      <c r="Q73" s="19">
        <f>IF($A73="","",$P73+(100000-ROW())/100000000)</f>
        <v/>
      </c>
      <c r="R73">
        <f>IF($A73="","",IF($D73&lt;&gt;1,"",RANK.EQ($Q73,$Q$3:$Q$202,0)))</f>
        <v/>
      </c>
      <c r="S73">
        <f>IF($A73="","",IF($D73=1,"",Derived!L73))</f>
        <v/>
      </c>
      <c r="T73" s="19">
        <f>IF($D73=1,$Q73,"")</f>
        <v/>
      </c>
    </row>
    <row r="74">
      <c r="A74">
        <f>Derived!A74</f>
        <v/>
      </c>
      <c r="B74">
        <f>Derived!B74</f>
        <v/>
      </c>
      <c r="C74">
        <f>Derived!C74</f>
        <v/>
      </c>
      <c r="D74">
        <f>Derived!K74</f>
        <v/>
      </c>
      <c r="E74" s="16">
        <f>Derived!F74</f>
        <v/>
      </c>
      <c r="F74">
        <f>IF(OR($E74=""),"",MAX(0,MIN(1,(cfg_PBR_max-MIN($E74,cfg_PBR_max))/(cfg_PBR_max-cfg_PBR_floor))))</f>
        <v/>
      </c>
      <c r="G74" s="17">
        <f>Derived!H74</f>
        <v/>
      </c>
      <c r="H74">
        <f>IF(OR($G74=""),"",MAX(0,MIN(1,MIN($G74,cap_NetCashPct)/cap_NetCashPct)))</f>
        <v/>
      </c>
      <c r="I74" s="15">
        <f>Derived!J74</f>
        <v/>
      </c>
      <c r="J74">
        <f>IF(OR($I74=""),"",MAX(0,MIN(1,($I74-cfg_Liq_min)/(cfg_Liq_cap-cfg_Liq_min))))</f>
        <v/>
      </c>
      <c r="K74" s="17">
        <f>Fundamentals!P74</f>
        <v/>
      </c>
      <c r="L74" s="17">
        <f>Fundamentals!Q74</f>
        <v/>
      </c>
      <c r="M74">
        <f>IF(AND($K74="",$L74=""),"",MIN(1,IF($K74="",0,MIN($K74,cap_DivYield)/cap_DivYield)*0.5+IF($L74="",0,MIN($L74,cap_BuybackYield)/cap_BuybackYield)*0.5))</f>
        <v/>
      </c>
      <c r="N74">
        <f>IF($A74="","",AVERAGE(IF(Fundamentals!R74="",0,Fundamentals!R74),IF(Fundamentals!S74="",0,Fundamentals!S74),IF(Fundamentals!T74="",0,Fundamentals!T74)))</f>
        <v/>
      </c>
      <c r="O74">
        <f>IF($A74="","",MAX(0,MIN(1,$N74)))</f>
        <v/>
      </c>
      <c r="P74" s="18">
        <f>IF($A74="","",ROUND(w_PBR*$F74+w_NetCash*$H74+w_Liq*$J74+w_Return*$M74+w_GovAct*$O74,2))</f>
        <v/>
      </c>
      <c r="Q74" s="19">
        <f>IF($A74="","",$P74+(100000-ROW())/100000000)</f>
        <v/>
      </c>
      <c r="R74">
        <f>IF($A74="","",IF($D74&lt;&gt;1,"",RANK.EQ($Q74,$Q$3:$Q$202,0)))</f>
        <v/>
      </c>
      <c r="S74">
        <f>IF($A74="","",IF($D74=1,"",Derived!L74))</f>
        <v/>
      </c>
      <c r="T74" s="19">
        <f>IF($D74=1,$Q74,"")</f>
        <v/>
      </c>
    </row>
    <row r="75">
      <c r="A75">
        <f>Derived!A75</f>
        <v/>
      </c>
      <c r="B75">
        <f>Derived!B75</f>
        <v/>
      </c>
      <c r="C75">
        <f>Derived!C75</f>
        <v/>
      </c>
      <c r="D75">
        <f>Derived!K75</f>
        <v/>
      </c>
      <c r="E75" s="16">
        <f>Derived!F75</f>
        <v/>
      </c>
      <c r="F75">
        <f>IF(OR($E75=""),"",MAX(0,MIN(1,(cfg_PBR_max-MIN($E75,cfg_PBR_max))/(cfg_PBR_max-cfg_PBR_floor))))</f>
        <v/>
      </c>
      <c r="G75" s="17">
        <f>Derived!H75</f>
        <v/>
      </c>
      <c r="H75">
        <f>IF(OR($G75=""),"",MAX(0,MIN(1,MIN($G75,cap_NetCashPct)/cap_NetCashPct)))</f>
        <v/>
      </c>
      <c r="I75" s="15">
        <f>Derived!J75</f>
        <v/>
      </c>
      <c r="J75">
        <f>IF(OR($I75=""),"",MAX(0,MIN(1,($I75-cfg_Liq_min)/(cfg_Liq_cap-cfg_Liq_min))))</f>
        <v/>
      </c>
      <c r="K75" s="17">
        <f>Fundamentals!P75</f>
        <v/>
      </c>
      <c r="L75" s="17">
        <f>Fundamentals!Q75</f>
        <v/>
      </c>
      <c r="M75">
        <f>IF(AND($K75="",$L75=""),"",MIN(1,IF($K75="",0,MIN($K75,cap_DivYield)/cap_DivYield)*0.5+IF($L75="",0,MIN($L75,cap_BuybackYield)/cap_BuybackYield)*0.5))</f>
        <v/>
      </c>
      <c r="N75">
        <f>IF($A75="","",AVERAGE(IF(Fundamentals!R75="",0,Fundamentals!R75),IF(Fundamentals!S75="",0,Fundamentals!S75),IF(Fundamentals!T75="",0,Fundamentals!T75)))</f>
        <v/>
      </c>
      <c r="O75">
        <f>IF($A75="","",MAX(0,MIN(1,$N75)))</f>
        <v/>
      </c>
      <c r="P75" s="18">
        <f>IF($A75="","",ROUND(w_PBR*$F75+w_NetCash*$H75+w_Liq*$J75+w_Return*$M75+w_GovAct*$O75,2))</f>
        <v/>
      </c>
      <c r="Q75" s="19">
        <f>IF($A75="","",$P75+(100000-ROW())/100000000)</f>
        <v/>
      </c>
      <c r="R75">
        <f>IF($A75="","",IF($D75&lt;&gt;1,"",RANK.EQ($Q75,$Q$3:$Q$202,0)))</f>
        <v/>
      </c>
      <c r="S75">
        <f>IF($A75="","",IF($D75=1,"",Derived!L75))</f>
        <v/>
      </c>
      <c r="T75" s="19">
        <f>IF($D75=1,$Q75,"")</f>
        <v/>
      </c>
    </row>
    <row r="76">
      <c r="A76">
        <f>Derived!A76</f>
        <v/>
      </c>
      <c r="B76">
        <f>Derived!B76</f>
        <v/>
      </c>
      <c r="C76">
        <f>Derived!C76</f>
        <v/>
      </c>
      <c r="D76">
        <f>Derived!K76</f>
        <v/>
      </c>
      <c r="E76" s="16">
        <f>Derived!F76</f>
        <v/>
      </c>
      <c r="F76">
        <f>IF(OR($E76=""),"",MAX(0,MIN(1,(cfg_PBR_max-MIN($E76,cfg_PBR_max))/(cfg_PBR_max-cfg_PBR_floor))))</f>
        <v/>
      </c>
      <c r="G76" s="17">
        <f>Derived!H76</f>
        <v/>
      </c>
      <c r="H76">
        <f>IF(OR($G76=""),"",MAX(0,MIN(1,MIN($G76,cap_NetCashPct)/cap_NetCashPct)))</f>
        <v/>
      </c>
      <c r="I76" s="15">
        <f>Derived!J76</f>
        <v/>
      </c>
      <c r="J76">
        <f>IF(OR($I76=""),"",MAX(0,MIN(1,($I76-cfg_Liq_min)/(cfg_Liq_cap-cfg_Liq_min))))</f>
        <v/>
      </c>
      <c r="K76" s="17">
        <f>Fundamentals!P76</f>
        <v/>
      </c>
      <c r="L76" s="17">
        <f>Fundamentals!Q76</f>
        <v/>
      </c>
      <c r="M76">
        <f>IF(AND($K76="",$L76=""),"",MIN(1,IF($K76="",0,MIN($K76,cap_DivYield)/cap_DivYield)*0.5+IF($L76="",0,MIN($L76,cap_BuybackYield)/cap_BuybackYield)*0.5))</f>
        <v/>
      </c>
      <c r="N76">
        <f>IF($A76="","",AVERAGE(IF(Fundamentals!R76="",0,Fundamentals!R76),IF(Fundamentals!S76="",0,Fundamentals!S76),IF(Fundamentals!T76="",0,Fundamentals!T76)))</f>
        <v/>
      </c>
      <c r="O76">
        <f>IF($A76="","",MAX(0,MIN(1,$N76)))</f>
        <v/>
      </c>
      <c r="P76" s="18">
        <f>IF($A76="","",ROUND(w_PBR*$F76+w_NetCash*$H76+w_Liq*$J76+w_Return*$M76+w_GovAct*$O76,2))</f>
        <v/>
      </c>
      <c r="Q76" s="19">
        <f>IF($A76="","",$P76+(100000-ROW())/100000000)</f>
        <v/>
      </c>
      <c r="R76">
        <f>IF($A76="","",IF($D76&lt;&gt;1,"",RANK.EQ($Q76,$Q$3:$Q$202,0)))</f>
        <v/>
      </c>
      <c r="S76">
        <f>IF($A76="","",IF($D76=1,"",Derived!L76))</f>
        <v/>
      </c>
      <c r="T76" s="19">
        <f>IF($D76=1,$Q76,"")</f>
        <v/>
      </c>
    </row>
    <row r="77">
      <c r="A77">
        <f>Derived!A77</f>
        <v/>
      </c>
      <c r="B77">
        <f>Derived!B77</f>
        <v/>
      </c>
      <c r="C77">
        <f>Derived!C77</f>
        <v/>
      </c>
      <c r="D77">
        <f>Derived!K77</f>
        <v/>
      </c>
      <c r="E77" s="16">
        <f>Derived!F77</f>
        <v/>
      </c>
      <c r="F77">
        <f>IF(OR($E77=""),"",MAX(0,MIN(1,(cfg_PBR_max-MIN($E77,cfg_PBR_max))/(cfg_PBR_max-cfg_PBR_floor))))</f>
        <v/>
      </c>
      <c r="G77" s="17">
        <f>Derived!H77</f>
        <v/>
      </c>
      <c r="H77">
        <f>IF(OR($G77=""),"",MAX(0,MIN(1,MIN($G77,cap_NetCashPct)/cap_NetCashPct)))</f>
        <v/>
      </c>
      <c r="I77" s="15">
        <f>Derived!J77</f>
        <v/>
      </c>
      <c r="J77">
        <f>IF(OR($I77=""),"",MAX(0,MIN(1,($I77-cfg_Liq_min)/(cfg_Liq_cap-cfg_Liq_min))))</f>
        <v/>
      </c>
      <c r="K77" s="17">
        <f>Fundamentals!P77</f>
        <v/>
      </c>
      <c r="L77" s="17">
        <f>Fundamentals!Q77</f>
        <v/>
      </c>
      <c r="M77">
        <f>IF(AND($K77="",$L77=""),"",MIN(1,IF($K77="",0,MIN($K77,cap_DivYield)/cap_DivYield)*0.5+IF($L77="",0,MIN($L77,cap_BuybackYield)/cap_BuybackYield)*0.5))</f>
        <v/>
      </c>
      <c r="N77">
        <f>IF($A77="","",AVERAGE(IF(Fundamentals!R77="",0,Fundamentals!R77),IF(Fundamentals!S77="",0,Fundamentals!S77),IF(Fundamentals!T77="",0,Fundamentals!T77)))</f>
        <v/>
      </c>
      <c r="O77">
        <f>IF($A77="","",MAX(0,MIN(1,$N77)))</f>
        <v/>
      </c>
      <c r="P77" s="18">
        <f>IF($A77="","",ROUND(w_PBR*$F77+w_NetCash*$H77+w_Liq*$J77+w_Return*$M77+w_GovAct*$O77,2))</f>
        <v/>
      </c>
      <c r="Q77" s="19">
        <f>IF($A77="","",$P77+(100000-ROW())/100000000)</f>
        <v/>
      </c>
      <c r="R77">
        <f>IF($A77="","",IF($D77&lt;&gt;1,"",RANK.EQ($Q77,$Q$3:$Q$202,0)))</f>
        <v/>
      </c>
      <c r="S77">
        <f>IF($A77="","",IF($D77=1,"",Derived!L77))</f>
        <v/>
      </c>
      <c r="T77" s="19">
        <f>IF($D77=1,$Q77,"")</f>
        <v/>
      </c>
    </row>
    <row r="78">
      <c r="A78">
        <f>Derived!A78</f>
        <v/>
      </c>
      <c r="B78">
        <f>Derived!B78</f>
        <v/>
      </c>
      <c r="C78">
        <f>Derived!C78</f>
        <v/>
      </c>
      <c r="D78">
        <f>Derived!K78</f>
        <v/>
      </c>
      <c r="E78" s="16">
        <f>Derived!F78</f>
        <v/>
      </c>
      <c r="F78">
        <f>IF(OR($E78=""),"",MAX(0,MIN(1,(cfg_PBR_max-MIN($E78,cfg_PBR_max))/(cfg_PBR_max-cfg_PBR_floor))))</f>
        <v/>
      </c>
      <c r="G78" s="17">
        <f>Derived!H78</f>
        <v/>
      </c>
      <c r="H78">
        <f>IF(OR($G78=""),"",MAX(0,MIN(1,MIN($G78,cap_NetCashPct)/cap_NetCashPct)))</f>
        <v/>
      </c>
      <c r="I78" s="15">
        <f>Derived!J78</f>
        <v/>
      </c>
      <c r="J78">
        <f>IF(OR($I78=""),"",MAX(0,MIN(1,($I78-cfg_Liq_min)/(cfg_Liq_cap-cfg_Liq_min))))</f>
        <v/>
      </c>
      <c r="K78" s="17">
        <f>Fundamentals!P78</f>
        <v/>
      </c>
      <c r="L78" s="17">
        <f>Fundamentals!Q78</f>
        <v/>
      </c>
      <c r="M78">
        <f>IF(AND($K78="",$L78=""),"",MIN(1,IF($K78="",0,MIN($K78,cap_DivYield)/cap_DivYield)*0.5+IF($L78="",0,MIN($L78,cap_BuybackYield)/cap_BuybackYield)*0.5))</f>
        <v/>
      </c>
      <c r="N78">
        <f>IF($A78="","",AVERAGE(IF(Fundamentals!R78="",0,Fundamentals!R78),IF(Fundamentals!S78="",0,Fundamentals!S78),IF(Fundamentals!T78="",0,Fundamentals!T78)))</f>
        <v/>
      </c>
      <c r="O78">
        <f>IF($A78="","",MAX(0,MIN(1,$N78)))</f>
        <v/>
      </c>
      <c r="P78" s="18">
        <f>IF($A78="","",ROUND(w_PBR*$F78+w_NetCash*$H78+w_Liq*$J78+w_Return*$M78+w_GovAct*$O78,2))</f>
        <v/>
      </c>
      <c r="Q78" s="19">
        <f>IF($A78="","",$P78+(100000-ROW())/100000000)</f>
        <v/>
      </c>
      <c r="R78">
        <f>IF($A78="","",IF($D78&lt;&gt;1,"",RANK.EQ($Q78,$Q$3:$Q$202,0)))</f>
        <v/>
      </c>
      <c r="S78">
        <f>IF($A78="","",IF($D78=1,"",Derived!L78))</f>
        <v/>
      </c>
      <c r="T78" s="19">
        <f>IF($D78=1,$Q78,"")</f>
        <v/>
      </c>
    </row>
    <row r="79">
      <c r="A79">
        <f>Derived!A79</f>
        <v/>
      </c>
      <c r="B79">
        <f>Derived!B79</f>
        <v/>
      </c>
      <c r="C79">
        <f>Derived!C79</f>
        <v/>
      </c>
      <c r="D79">
        <f>Derived!K79</f>
        <v/>
      </c>
      <c r="E79" s="16">
        <f>Derived!F79</f>
        <v/>
      </c>
      <c r="F79">
        <f>IF(OR($E79=""),"",MAX(0,MIN(1,(cfg_PBR_max-MIN($E79,cfg_PBR_max))/(cfg_PBR_max-cfg_PBR_floor))))</f>
        <v/>
      </c>
      <c r="G79" s="17">
        <f>Derived!H79</f>
        <v/>
      </c>
      <c r="H79">
        <f>IF(OR($G79=""),"",MAX(0,MIN(1,MIN($G79,cap_NetCashPct)/cap_NetCashPct)))</f>
        <v/>
      </c>
      <c r="I79" s="15">
        <f>Derived!J79</f>
        <v/>
      </c>
      <c r="J79">
        <f>IF(OR($I79=""),"",MAX(0,MIN(1,($I79-cfg_Liq_min)/(cfg_Liq_cap-cfg_Liq_min))))</f>
        <v/>
      </c>
      <c r="K79" s="17">
        <f>Fundamentals!P79</f>
        <v/>
      </c>
      <c r="L79" s="17">
        <f>Fundamentals!Q79</f>
        <v/>
      </c>
      <c r="M79">
        <f>IF(AND($K79="",$L79=""),"",MIN(1,IF($K79="",0,MIN($K79,cap_DivYield)/cap_DivYield)*0.5+IF($L79="",0,MIN($L79,cap_BuybackYield)/cap_BuybackYield)*0.5))</f>
        <v/>
      </c>
      <c r="N79">
        <f>IF($A79="","",AVERAGE(IF(Fundamentals!R79="",0,Fundamentals!R79),IF(Fundamentals!S79="",0,Fundamentals!S79),IF(Fundamentals!T79="",0,Fundamentals!T79)))</f>
        <v/>
      </c>
      <c r="O79">
        <f>IF($A79="","",MAX(0,MIN(1,$N79)))</f>
        <v/>
      </c>
      <c r="P79" s="18">
        <f>IF($A79="","",ROUND(w_PBR*$F79+w_NetCash*$H79+w_Liq*$J79+w_Return*$M79+w_GovAct*$O79,2))</f>
        <v/>
      </c>
      <c r="Q79" s="19">
        <f>IF($A79="","",$P79+(100000-ROW())/100000000)</f>
        <v/>
      </c>
      <c r="R79">
        <f>IF($A79="","",IF($D79&lt;&gt;1,"",RANK.EQ($Q79,$Q$3:$Q$202,0)))</f>
        <v/>
      </c>
      <c r="S79">
        <f>IF($A79="","",IF($D79=1,"",Derived!L79))</f>
        <v/>
      </c>
      <c r="T79" s="19">
        <f>IF($D79=1,$Q79,"")</f>
        <v/>
      </c>
    </row>
    <row r="80">
      <c r="A80">
        <f>Derived!A80</f>
        <v/>
      </c>
      <c r="B80">
        <f>Derived!B80</f>
        <v/>
      </c>
      <c r="C80">
        <f>Derived!C80</f>
        <v/>
      </c>
      <c r="D80">
        <f>Derived!K80</f>
        <v/>
      </c>
      <c r="E80" s="16">
        <f>Derived!F80</f>
        <v/>
      </c>
      <c r="F80">
        <f>IF(OR($E80=""),"",MAX(0,MIN(1,(cfg_PBR_max-MIN($E80,cfg_PBR_max))/(cfg_PBR_max-cfg_PBR_floor))))</f>
        <v/>
      </c>
      <c r="G80" s="17">
        <f>Derived!H80</f>
        <v/>
      </c>
      <c r="H80">
        <f>IF(OR($G80=""),"",MAX(0,MIN(1,MIN($G80,cap_NetCashPct)/cap_NetCashPct)))</f>
        <v/>
      </c>
      <c r="I80" s="15">
        <f>Derived!J80</f>
        <v/>
      </c>
      <c r="J80">
        <f>IF(OR($I80=""),"",MAX(0,MIN(1,($I80-cfg_Liq_min)/(cfg_Liq_cap-cfg_Liq_min))))</f>
        <v/>
      </c>
      <c r="K80" s="17">
        <f>Fundamentals!P80</f>
        <v/>
      </c>
      <c r="L80" s="17">
        <f>Fundamentals!Q80</f>
        <v/>
      </c>
      <c r="M80">
        <f>IF(AND($K80="",$L80=""),"",MIN(1,IF($K80="",0,MIN($K80,cap_DivYield)/cap_DivYield)*0.5+IF($L80="",0,MIN($L80,cap_BuybackYield)/cap_BuybackYield)*0.5))</f>
        <v/>
      </c>
      <c r="N80">
        <f>IF($A80="","",AVERAGE(IF(Fundamentals!R80="",0,Fundamentals!R80),IF(Fundamentals!S80="",0,Fundamentals!S80),IF(Fundamentals!T80="",0,Fundamentals!T80)))</f>
        <v/>
      </c>
      <c r="O80">
        <f>IF($A80="","",MAX(0,MIN(1,$N80)))</f>
        <v/>
      </c>
      <c r="P80" s="18">
        <f>IF($A80="","",ROUND(w_PBR*$F80+w_NetCash*$H80+w_Liq*$J80+w_Return*$M80+w_GovAct*$O80,2))</f>
        <v/>
      </c>
      <c r="Q80" s="19">
        <f>IF($A80="","",$P80+(100000-ROW())/100000000)</f>
        <v/>
      </c>
      <c r="R80">
        <f>IF($A80="","",IF($D80&lt;&gt;1,"",RANK.EQ($Q80,$Q$3:$Q$202,0)))</f>
        <v/>
      </c>
      <c r="S80">
        <f>IF($A80="","",IF($D80=1,"",Derived!L80))</f>
        <v/>
      </c>
      <c r="T80" s="19">
        <f>IF($D80=1,$Q80,"")</f>
        <v/>
      </c>
    </row>
    <row r="81">
      <c r="A81">
        <f>Derived!A81</f>
        <v/>
      </c>
      <c r="B81">
        <f>Derived!B81</f>
        <v/>
      </c>
      <c r="C81">
        <f>Derived!C81</f>
        <v/>
      </c>
      <c r="D81">
        <f>Derived!K81</f>
        <v/>
      </c>
      <c r="E81" s="16">
        <f>Derived!F81</f>
        <v/>
      </c>
      <c r="F81">
        <f>IF(OR($E81=""),"",MAX(0,MIN(1,(cfg_PBR_max-MIN($E81,cfg_PBR_max))/(cfg_PBR_max-cfg_PBR_floor))))</f>
        <v/>
      </c>
      <c r="G81" s="17">
        <f>Derived!H81</f>
        <v/>
      </c>
      <c r="H81">
        <f>IF(OR($G81=""),"",MAX(0,MIN(1,MIN($G81,cap_NetCashPct)/cap_NetCashPct)))</f>
        <v/>
      </c>
      <c r="I81" s="15">
        <f>Derived!J81</f>
        <v/>
      </c>
      <c r="J81">
        <f>IF(OR($I81=""),"",MAX(0,MIN(1,($I81-cfg_Liq_min)/(cfg_Liq_cap-cfg_Liq_min))))</f>
        <v/>
      </c>
      <c r="K81" s="17">
        <f>Fundamentals!P81</f>
        <v/>
      </c>
      <c r="L81" s="17">
        <f>Fundamentals!Q81</f>
        <v/>
      </c>
      <c r="M81">
        <f>IF(AND($K81="",$L81=""),"",MIN(1,IF($K81="",0,MIN($K81,cap_DivYield)/cap_DivYield)*0.5+IF($L81="",0,MIN($L81,cap_BuybackYield)/cap_BuybackYield)*0.5))</f>
        <v/>
      </c>
      <c r="N81">
        <f>IF($A81="","",AVERAGE(IF(Fundamentals!R81="",0,Fundamentals!R81),IF(Fundamentals!S81="",0,Fundamentals!S81),IF(Fundamentals!T81="",0,Fundamentals!T81)))</f>
        <v/>
      </c>
      <c r="O81">
        <f>IF($A81="","",MAX(0,MIN(1,$N81)))</f>
        <v/>
      </c>
      <c r="P81" s="18">
        <f>IF($A81="","",ROUND(w_PBR*$F81+w_NetCash*$H81+w_Liq*$J81+w_Return*$M81+w_GovAct*$O81,2))</f>
        <v/>
      </c>
      <c r="Q81" s="19">
        <f>IF($A81="","",$P81+(100000-ROW())/100000000)</f>
        <v/>
      </c>
      <c r="R81">
        <f>IF($A81="","",IF($D81&lt;&gt;1,"",RANK.EQ($Q81,$Q$3:$Q$202,0)))</f>
        <v/>
      </c>
      <c r="S81">
        <f>IF($A81="","",IF($D81=1,"",Derived!L81))</f>
        <v/>
      </c>
      <c r="T81" s="19">
        <f>IF($D81=1,$Q81,"")</f>
        <v/>
      </c>
    </row>
    <row r="82">
      <c r="A82">
        <f>Derived!A82</f>
        <v/>
      </c>
      <c r="B82">
        <f>Derived!B82</f>
        <v/>
      </c>
      <c r="C82">
        <f>Derived!C82</f>
        <v/>
      </c>
      <c r="D82">
        <f>Derived!K82</f>
        <v/>
      </c>
      <c r="E82" s="16">
        <f>Derived!F82</f>
        <v/>
      </c>
      <c r="F82">
        <f>IF(OR($E82=""),"",MAX(0,MIN(1,(cfg_PBR_max-MIN($E82,cfg_PBR_max))/(cfg_PBR_max-cfg_PBR_floor))))</f>
        <v/>
      </c>
      <c r="G82" s="17">
        <f>Derived!H82</f>
        <v/>
      </c>
      <c r="H82">
        <f>IF(OR($G82=""),"",MAX(0,MIN(1,MIN($G82,cap_NetCashPct)/cap_NetCashPct)))</f>
        <v/>
      </c>
      <c r="I82" s="15">
        <f>Derived!J82</f>
        <v/>
      </c>
      <c r="J82">
        <f>IF(OR($I82=""),"",MAX(0,MIN(1,($I82-cfg_Liq_min)/(cfg_Liq_cap-cfg_Liq_min))))</f>
        <v/>
      </c>
      <c r="K82" s="17">
        <f>Fundamentals!P82</f>
        <v/>
      </c>
      <c r="L82" s="17">
        <f>Fundamentals!Q82</f>
        <v/>
      </c>
      <c r="M82">
        <f>IF(AND($K82="",$L82=""),"",MIN(1,IF($K82="",0,MIN($K82,cap_DivYield)/cap_DivYield)*0.5+IF($L82="",0,MIN($L82,cap_BuybackYield)/cap_BuybackYield)*0.5))</f>
        <v/>
      </c>
      <c r="N82">
        <f>IF($A82="","",AVERAGE(IF(Fundamentals!R82="",0,Fundamentals!R82),IF(Fundamentals!S82="",0,Fundamentals!S82),IF(Fundamentals!T82="",0,Fundamentals!T82)))</f>
        <v/>
      </c>
      <c r="O82">
        <f>IF($A82="","",MAX(0,MIN(1,$N82)))</f>
        <v/>
      </c>
      <c r="P82" s="18">
        <f>IF($A82="","",ROUND(w_PBR*$F82+w_NetCash*$H82+w_Liq*$J82+w_Return*$M82+w_GovAct*$O82,2))</f>
        <v/>
      </c>
      <c r="Q82" s="19">
        <f>IF($A82="","",$P82+(100000-ROW())/100000000)</f>
        <v/>
      </c>
      <c r="R82">
        <f>IF($A82="","",IF($D82&lt;&gt;1,"",RANK.EQ($Q82,$Q$3:$Q$202,0)))</f>
        <v/>
      </c>
      <c r="S82">
        <f>IF($A82="","",IF($D82=1,"",Derived!L82))</f>
        <v/>
      </c>
      <c r="T82" s="19">
        <f>IF($D82=1,$Q82,"")</f>
        <v/>
      </c>
    </row>
    <row r="83">
      <c r="A83">
        <f>Derived!A83</f>
        <v/>
      </c>
      <c r="B83">
        <f>Derived!B83</f>
        <v/>
      </c>
      <c r="C83">
        <f>Derived!C83</f>
        <v/>
      </c>
      <c r="D83">
        <f>Derived!K83</f>
        <v/>
      </c>
      <c r="E83" s="16">
        <f>Derived!F83</f>
        <v/>
      </c>
      <c r="F83">
        <f>IF(OR($E83=""),"",MAX(0,MIN(1,(cfg_PBR_max-MIN($E83,cfg_PBR_max))/(cfg_PBR_max-cfg_PBR_floor))))</f>
        <v/>
      </c>
      <c r="G83" s="17">
        <f>Derived!H83</f>
        <v/>
      </c>
      <c r="H83">
        <f>IF(OR($G83=""),"",MAX(0,MIN(1,MIN($G83,cap_NetCashPct)/cap_NetCashPct)))</f>
        <v/>
      </c>
      <c r="I83" s="15">
        <f>Derived!J83</f>
        <v/>
      </c>
      <c r="J83">
        <f>IF(OR($I83=""),"",MAX(0,MIN(1,($I83-cfg_Liq_min)/(cfg_Liq_cap-cfg_Liq_min))))</f>
        <v/>
      </c>
      <c r="K83" s="17">
        <f>Fundamentals!P83</f>
        <v/>
      </c>
      <c r="L83" s="17">
        <f>Fundamentals!Q83</f>
        <v/>
      </c>
      <c r="M83">
        <f>IF(AND($K83="",$L83=""),"",MIN(1,IF($K83="",0,MIN($K83,cap_DivYield)/cap_DivYield)*0.5+IF($L83="",0,MIN($L83,cap_BuybackYield)/cap_BuybackYield)*0.5))</f>
        <v/>
      </c>
      <c r="N83">
        <f>IF($A83="","",AVERAGE(IF(Fundamentals!R83="",0,Fundamentals!R83),IF(Fundamentals!S83="",0,Fundamentals!S83),IF(Fundamentals!T83="",0,Fundamentals!T83)))</f>
        <v/>
      </c>
      <c r="O83">
        <f>IF($A83="","",MAX(0,MIN(1,$N83)))</f>
        <v/>
      </c>
      <c r="P83" s="18">
        <f>IF($A83="","",ROUND(w_PBR*$F83+w_NetCash*$H83+w_Liq*$J83+w_Return*$M83+w_GovAct*$O83,2))</f>
        <v/>
      </c>
      <c r="Q83" s="19">
        <f>IF($A83="","",$P83+(100000-ROW())/100000000)</f>
        <v/>
      </c>
      <c r="R83">
        <f>IF($A83="","",IF($D83&lt;&gt;1,"",RANK.EQ($Q83,$Q$3:$Q$202,0)))</f>
        <v/>
      </c>
      <c r="S83">
        <f>IF($A83="","",IF($D83=1,"",Derived!L83))</f>
        <v/>
      </c>
      <c r="T83" s="19">
        <f>IF($D83=1,$Q83,"")</f>
        <v/>
      </c>
    </row>
    <row r="84">
      <c r="A84">
        <f>Derived!A84</f>
        <v/>
      </c>
      <c r="B84">
        <f>Derived!B84</f>
        <v/>
      </c>
      <c r="C84">
        <f>Derived!C84</f>
        <v/>
      </c>
      <c r="D84">
        <f>Derived!K84</f>
        <v/>
      </c>
      <c r="E84" s="16">
        <f>Derived!F84</f>
        <v/>
      </c>
      <c r="F84">
        <f>IF(OR($E84=""),"",MAX(0,MIN(1,(cfg_PBR_max-MIN($E84,cfg_PBR_max))/(cfg_PBR_max-cfg_PBR_floor))))</f>
        <v/>
      </c>
      <c r="G84" s="17">
        <f>Derived!H84</f>
        <v/>
      </c>
      <c r="H84">
        <f>IF(OR($G84=""),"",MAX(0,MIN(1,MIN($G84,cap_NetCashPct)/cap_NetCashPct)))</f>
        <v/>
      </c>
      <c r="I84" s="15">
        <f>Derived!J84</f>
        <v/>
      </c>
      <c r="J84">
        <f>IF(OR($I84=""),"",MAX(0,MIN(1,($I84-cfg_Liq_min)/(cfg_Liq_cap-cfg_Liq_min))))</f>
        <v/>
      </c>
      <c r="K84" s="17">
        <f>Fundamentals!P84</f>
        <v/>
      </c>
      <c r="L84" s="17">
        <f>Fundamentals!Q84</f>
        <v/>
      </c>
      <c r="M84">
        <f>IF(AND($K84="",$L84=""),"",MIN(1,IF($K84="",0,MIN($K84,cap_DivYield)/cap_DivYield)*0.5+IF($L84="",0,MIN($L84,cap_BuybackYield)/cap_BuybackYield)*0.5))</f>
        <v/>
      </c>
      <c r="N84">
        <f>IF($A84="","",AVERAGE(IF(Fundamentals!R84="",0,Fundamentals!R84),IF(Fundamentals!S84="",0,Fundamentals!S84),IF(Fundamentals!T84="",0,Fundamentals!T84)))</f>
        <v/>
      </c>
      <c r="O84">
        <f>IF($A84="","",MAX(0,MIN(1,$N84)))</f>
        <v/>
      </c>
      <c r="P84" s="18">
        <f>IF($A84="","",ROUND(w_PBR*$F84+w_NetCash*$H84+w_Liq*$J84+w_Return*$M84+w_GovAct*$O84,2))</f>
        <v/>
      </c>
      <c r="Q84" s="19">
        <f>IF($A84="","",$P84+(100000-ROW())/100000000)</f>
        <v/>
      </c>
      <c r="R84">
        <f>IF($A84="","",IF($D84&lt;&gt;1,"",RANK.EQ($Q84,$Q$3:$Q$202,0)))</f>
        <v/>
      </c>
      <c r="S84">
        <f>IF($A84="","",IF($D84=1,"",Derived!L84))</f>
        <v/>
      </c>
      <c r="T84" s="19">
        <f>IF($D84=1,$Q84,"")</f>
        <v/>
      </c>
    </row>
    <row r="85">
      <c r="A85">
        <f>Derived!A85</f>
        <v/>
      </c>
      <c r="B85">
        <f>Derived!B85</f>
        <v/>
      </c>
      <c r="C85">
        <f>Derived!C85</f>
        <v/>
      </c>
      <c r="D85">
        <f>Derived!K85</f>
        <v/>
      </c>
      <c r="E85" s="16">
        <f>Derived!F85</f>
        <v/>
      </c>
      <c r="F85">
        <f>IF(OR($E85=""),"",MAX(0,MIN(1,(cfg_PBR_max-MIN($E85,cfg_PBR_max))/(cfg_PBR_max-cfg_PBR_floor))))</f>
        <v/>
      </c>
      <c r="G85" s="17">
        <f>Derived!H85</f>
        <v/>
      </c>
      <c r="H85">
        <f>IF(OR($G85=""),"",MAX(0,MIN(1,MIN($G85,cap_NetCashPct)/cap_NetCashPct)))</f>
        <v/>
      </c>
      <c r="I85" s="15">
        <f>Derived!J85</f>
        <v/>
      </c>
      <c r="J85">
        <f>IF(OR($I85=""),"",MAX(0,MIN(1,($I85-cfg_Liq_min)/(cfg_Liq_cap-cfg_Liq_min))))</f>
        <v/>
      </c>
      <c r="K85" s="17">
        <f>Fundamentals!P85</f>
        <v/>
      </c>
      <c r="L85" s="17">
        <f>Fundamentals!Q85</f>
        <v/>
      </c>
      <c r="M85">
        <f>IF(AND($K85="",$L85=""),"",MIN(1,IF($K85="",0,MIN($K85,cap_DivYield)/cap_DivYield)*0.5+IF($L85="",0,MIN($L85,cap_BuybackYield)/cap_BuybackYield)*0.5))</f>
        <v/>
      </c>
      <c r="N85">
        <f>IF($A85="","",AVERAGE(IF(Fundamentals!R85="",0,Fundamentals!R85),IF(Fundamentals!S85="",0,Fundamentals!S85),IF(Fundamentals!T85="",0,Fundamentals!T85)))</f>
        <v/>
      </c>
      <c r="O85">
        <f>IF($A85="","",MAX(0,MIN(1,$N85)))</f>
        <v/>
      </c>
      <c r="P85" s="18">
        <f>IF($A85="","",ROUND(w_PBR*$F85+w_NetCash*$H85+w_Liq*$J85+w_Return*$M85+w_GovAct*$O85,2))</f>
        <v/>
      </c>
      <c r="Q85" s="19">
        <f>IF($A85="","",$P85+(100000-ROW())/100000000)</f>
        <v/>
      </c>
      <c r="R85">
        <f>IF($A85="","",IF($D85&lt;&gt;1,"",RANK.EQ($Q85,$Q$3:$Q$202,0)))</f>
        <v/>
      </c>
      <c r="S85">
        <f>IF($A85="","",IF($D85=1,"",Derived!L85))</f>
        <v/>
      </c>
      <c r="T85" s="19">
        <f>IF($D85=1,$Q85,"")</f>
        <v/>
      </c>
    </row>
    <row r="86">
      <c r="A86">
        <f>Derived!A86</f>
        <v/>
      </c>
      <c r="B86">
        <f>Derived!B86</f>
        <v/>
      </c>
      <c r="C86">
        <f>Derived!C86</f>
        <v/>
      </c>
      <c r="D86">
        <f>Derived!K86</f>
        <v/>
      </c>
      <c r="E86" s="16">
        <f>Derived!F86</f>
        <v/>
      </c>
      <c r="F86">
        <f>IF(OR($E86=""),"",MAX(0,MIN(1,(cfg_PBR_max-MIN($E86,cfg_PBR_max))/(cfg_PBR_max-cfg_PBR_floor))))</f>
        <v/>
      </c>
      <c r="G86" s="17">
        <f>Derived!H86</f>
        <v/>
      </c>
      <c r="H86">
        <f>IF(OR($G86=""),"",MAX(0,MIN(1,MIN($G86,cap_NetCashPct)/cap_NetCashPct)))</f>
        <v/>
      </c>
      <c r="I86" s="15">
        <f>Derived!J86</f>
        <v/>
      </c>
      <c r="J86">
        <f>IF(OR($I86=""),"",MAX(0,MIN(1,($I86-cfg_Liq_min)/(cfg_Liq_cap-cfg_Liq_min))))</f>
        <v/>
      </c>
      <c r="K86" s="17">
        <f>Fundamentals!P86</f>
        <v/>
      </c>
      <c r="L86" s="17">
        <f>Fundamentals!Q86</f>
        <v/>
      </c>
      <c r="M86">
        <f>IF(AND($K86="",$L86=""),"",MIN(1,IF($K86="",0,MIN($K86,cap_DivYield)/cap_DivYield)*0.5+IF($L86="",0,MIN($L86,cap_BuybackYield)/cap_BuybackYield)*0.5))</f>
        <v/>
      </c>
      <c r="N86">
        <f>IF($A86="","",AVERAGE(IF(Fundamentals!R86="",0,Fundamentals!R86),IF(Fundamentals!S86="",0,Fundamentals!S86),IF(Fundamentals!T86="",0,Fundamentals!T86)))</f>
        <v/>
      </c>
      <c r="O86">
        <f>IF($A86="","",MAX(0,MIN(1,$N86)))</f>
        <v/>
      </c>
      <c r="P86" s="18">
        <f>IF($A86="","",ROUND(w_PBR*$F86+w_NetCash*$H86+w_Liq*$J86+w_Return*$M86+w_GovAct*$O86,2))</f>
        <v/>
      </c>
      <c r="Q86" s="19">
        <f>IF($A86="","",$P86+(100000-ROW())/100000000)</f>
        <v/>
      </c>
      <c r="R86">
        <f>IF($A86="","",IF($D86&lt;&gt;1,"",RANK.EQ($Q86,$Q$3:$Q$202,0)))</f>
        <v/>
      </c>
      <c r="S86">
        <f>IF($A86="","",IF($D86=1,"",Derived!L86))</f>
        <v/>
      </c>
      <c r="T86" s="19">
        <f>IF($D86=1,$Q86,"")</f>
        <v/>
      </c>
    </row>
    <row r="87">
      <c r="A87">
        <f>Derived!A87</f>
        <v/>
      </c>
      <c r="B87">
        <f>Derived!B87</f>
        <v/>
      </c>
      <c r="C87">
        <f>Derived!C87</f>
        <v/>
      </c>
      <c r="D87">
        <f>Derived!K87</f>
        <v/>
      </c>
      <c r="E87" s="16">
        <f>Derived!F87</f>
        <v/>
      </c>
      <c r="F87">
        <f>IF(OR($E87=""),"",MAX(0,MIN(1,(cfg_PBR_max-MIN($E87,cfg_PBR_max))/(cfg_PBR_max-cfg_PBR_floor))))</f>
        <v/>
      </c>
      <c r="G87" s="17">
        <f>Derived!H87</f>
        <v/>
      </c>
      <c r="H87">
        <f>IF(OR($G87=""),"",MAX(0,MIN(1,MIN($G87,cap_NetCashPct)/cap_NetCashPct)))</f>
        <v/>
      </c>
      <c r="I87" s="15">
        <f>Derived!J87</f>
        <v/>
      </c>
      <c r="J87">
        <f>IF(OR($I87=""),"",MAX(0,MIN(1,($I87-cfg_Liq_min)/(cfg_Liq_cap-cfg_Liq_min))))</f>
        <v/>
      </c>
      <c r="K87" s="17">
        <f>Fundamentals!P87</f>
        <v/>
      </c>
      <c r="L87" s="17">
        <f>Fundamentals!Q87</f>
        <v/>
      </c>
      <c r="M87">
        <f>IF(AND($K87="",$L87=""),"",MIN(1,IF($K87="",0,MIN($K87,cap_DivYield)/cap_DivYield)*0.5+IF($L87="",0,MIN($L87,cap_BuybackYield)/cap_BuybackYield)*0.5))</f>
        <v/>
      </c>
      <c r="N87">
        <f>IF($A87="","",AVERAGE(IF(Fundamentals!R87="",0,Fundamentals!R87),IF(Fundamentals!S87="",0,Fundamentals!S87),IF(Fundamentals!T87="",0,Fundamentals!T87)))</f>
        <v/>
      </c>
      <c r="O87">
        <f>IF($A87="","",MAX(0,MIN(1,$N87)))</f>
        <v/>
      </c>
      <c r="P87" s="18">
        <f>IF($A87="","",ROUND(w_PBR*$F87+w_NetCash*$H87+w_Liq*$J87+w_Return*$M87+w_GovAct*$O87,2))</f>
        <v/>
      </c>
      <c r="Q87" s="19">
        <f>IF($A87="","",$P87+(100000-ROW())/100000000)</f>
        <v/>
      </c>
      <c r="R87">
        <f>IF($A87="","",IF($D87&lt;&gt;1,"",RANK.EQ($Q87,$Q$3:$Q$202,0)))</f>
        <v/>
      </c>
      <c r="S87">
        <f>IF($A87="","",IF($D87=1,"",Derived!L87))</f>
        <v/>
      </c>
      <c r="T87" s="19">
        <f>IF($D87=1,$Q87,"")</f>
        <v/>
      </c>
    </row>
    <row r="88">
      <c r="A88">
        <f>Derived!A88</f>
        <v/>
      </c>
      <c r="B88">
        <f>Derived!B88</f>
        <v/>
      </c>
      <c r="C88">
        <f>Derived!C88</f>
        <v/>
      </c>
      <c r="D88">
        <f>Derived!K88</f>
        <v/>
      </c>
      <c r="E88" s="16">
        <f>Derived!F88</f>
        <v/>
      </c>
      <c r="F88">
        <f>IF(OR($E88=""),"",MAX(0,MIN(1,(cfg_PBR_max-MIN($E88,cfg_PBR_max))/(cfg_PBR_max-cfg_PBR_floor))))</f>
        <v/>
      </c>
      <c r="G88" s="17">
        <f>Derived!H88</f>
        <v/>
      </c>
      <c r="H88">
        <f>IF(OR($G88=""),"",MAX(0,MIN(1,MIN($G88,cap_NetCashPct)/cap_NetCashPct)))</f>
        <v/>
      </c>
      <c r="I88" s="15">
        <f>Derived!J88</f>
        <v/>
      </c>
      <c r="J88">
        <f>IF(OR($I88=""),"",MAX(0,MIN(1,($I88-cfg_Liq_min)/(cfg_Liq_cap-cfg_Liq_min))))</f>
        <v/>
      </c>
      <c r="K88" s="17">
        <f>Fundamentals!P88</f>
        <v/>
      </c>
      <c r="L88" s="17">
        <f>Fundamentals!Q88</f>
        <v/>
      </c>
      <c r="M88">
        <f>IF(AND($K88="",$L88=""),"",MIN(1,IF($K88="",0,MIN($K88,cap_DivYield)/cap_DivYield)*0.5+IF($L88="",0,MIN($L88,cap_BuybackYield)/cap_BuybackYield)*0.5))</f>
        <v/>
      </c>
      <c r="N88">
        <f>IF($A88="","",AVERAGE(IF(Fundamentals!R88="",0,Fundamentals!R88),IF(Fundamentals!S88="",0,Fundamentals!S88),IF(Fundamentals!T88="",0,Fundamentals!T88)))</f>
        <v/>
      </c>
      <c r="O88">
        <f>IF($A88="","",MAX(0,MIN(1,$N88)))</f>
        <v/>
      </c>
      <c r="P88" s="18">
        <f>IF($A88="","",ROUND(w_PBR*$F88+w_NetCash*$H88+w_Liq*$J88+w_Return*$M88+w_GovAct*$O88,2))</f>
        <v/>
      </c>
      <c r="Q88" s="19">
        <f>IF($A88="","",$P88+(100000-ROW())/100000000)</f>
        <v/>
      </c>
      <c r="R88">
        <f>IF($A88="","",IF($D88&lt;&gt;1,"",RANK.EQ($Q88,$Q$3:$Q$202,0)))</f>
        <v/>
      </c>
      <c r="S88">
        <f>IF($A88="","",IF($D88=1,"",Derived!L88))</f>
        <v/>
      </c>
      <c r="T88" s="19">
        <f>IF($D88=1,$Q88,"")</f>
        <v/>
      </c>
    </row>
    <row r="89">
      <c r="A89">
        <f>Derived!A89</f>
        <v/>
      </c>
      <c r="B89">
        <f>Derived!B89</f>
        <v/>
      </c>
      <c r="C89">
        <f>Derived!C89</f>
        <v/>
      </c>
      <c r="D89">
        <f>Derived!K89</f>
        <v/>
      </c>
      <c r="E89" s="16">
        <f>Derived!F89</f>
        <v/>
      </c>
      <c r="F89">
        <f>IF(OR($E89=""),"",MAX(0,MIN(1,(cfg_PBR_max-MIN($E89,cfg_PBR_max))/(cfg_PBR_max-cfg_PBR_floor))))</f>
        <v/>
      </c>
      <c r="G89" s="17">
        <f>Derived!H89</f>
        <v/>
      </c>
      <c r="H89">
        <f>IF(OR($G89=""),"",MAX(0,MIN(1,MIN($G89,cap_NetCashPct)/cap_NetCashPct)))</f>
        <v/>
      </c>
      <c r="I89" s="15">
        <f>Derived!J89</f>
        <v/>
      </c>
      <c r="J89">
        <f>IF(OR($I89=""),"",MAX(0,MIN(1,($I89-cfg_Liq_min)/(cfg_Liq_cap-cfg_Liq_min))))</f>
        <v/>
      </c>
      <c r="K89" s="17">
        <f>Fundamentals!P89</f>
        <v/>
      </c>
      <c r="L89" s="17">
        <f>Fundamentals!Q89</f>
        <v/>
      </c>
      <c r="M89">
        <f>IF(AND($K89="",$L89=""),"",MIN(1,IF($K89="",0,MIN($K89,cap_DivYield)/cap_DivYield)*0.5+IF($L89="",0,MIN($L89,cap_BuybackYield)/cap_BuybackYield)*0.5))</f>
        <v/>
      </c>
      <c r="N89">
        <f>IF($A89="","",AVERAGE(IF(Fundamentals!R89="",0,Fundamentals!R89),IF(Fundamentals!S89="",0,Fundamentals!S89),IF(Fundamentals!T89="",0,Fundamentals!T89)))</f>
        <v/>
      </c>
      <c r="O89">
        <f>IF($A89="","",MAX(0,MIN(1,$N89)))</f>
        <v/>
      </c>
      <c r="P89" s="18">
        <f>IF($A89="","",ROUND(w_PBR*$F89+w_NetCash*$H89+w_Liq*$J89+w_Return*$M89+w_GovAct*$O89,2))</f>
        <v/>
      </c>
      <c r="Q89" s="19">
        <f>IF($A89="","",$P89+(100000-ROW())/100000000)</f>
        <v/>
      </c>
      <c r="R89">
        <f>IF($A89="","",IF($D89&lt;&gt;1,"",RANK.EQ($Q89,$Q$3:$Q$202,0)))</f>
        <v/>
      </c>
      <c r="S89">
        <f>IF($A89="","",IF($D89=1,"",Derived!L89))</f>
        <v/>
      </c>
      <c r="T89" s="19">
        <f>IF($D89=1,$Q89,"")</f>
        <v/>
      </c>
    </row>
    <row r="90">
      <c r="A90">
        <f>Derived!A90</f>
        <v/>
      </c>
      <c r="B90">
        <f>Derived!B90</f>
        <v/>
      </c>
      <c r="C90">
        <f>Derived!C90</f>
        <v/>
      </c>
      <c r="D90">
        <f>Derived!K90</f>
        <v/>
      </c>
      <c r="E90" s="16">
        <f>Derived!F90</f>
        <v/>
      </c>
      <c r="F90">
        <f>IF(OR($E90=""),"",MAX(0,MIN(1,(cfg_PBR_max-MIN($E90,cfg_PBR_max))/(cfg_PBR_max-cfg_PBR_floor))))</f>
        <v/>
      </c>
      <c r="G90" s="17">
        <f>Derived!H90</f>
        <v/>
      </c>
      <c r="H90">
        <f>IF(OR($G90=""),"",MAX(0,MIN(1,MIN($G90,cap_NetCashPct)/cap_NetCashPct)))</f>
        <v/>
      </c>
      <c r="I90" s="15">
        <f>Derived!J90</f>
        <v/>
      </c>
      <c r="J90">
        <f>IF(OR($I90=""),"",MAX(0,MIN(1,($I90-cfg_Liq_min)/(cfg_Liq_cap-cfg_Liq_min))))</f>
        <v/>
      </c>
      <c r="K90" s="17">
        <f>Fundamentals!P90</f>
        <v/>
      </c>
      <c r="L90" s="17">
        <f>Fundamentals!Q90</f>
        <v/>
      </c>
      <c r="M90">
        <f>IF(AND($K90="",$L90=""),"",MIN(1,IF($K90="",0,MIN($K90,cap_DivYield)/cap_DivYield)*0.5+IF($L90="",0,MIN($L90,cap_BuybackYield)/cap_BuybackYield)*0.5))</f>
        <v/>
      </c>
      <c r="N90">
        <f>IF($A90="","",AVERAGE(IF(Fundamentals!R90="",0,Fundamentals!R90),IF(Fundamentals!S90="",0,Fundamentals!S90),IF(Fundamentals!T90="",0,Fundamentals!T90)))</f>
        <v/>
      </c>
      <c r="O90">
        <f>IF($A90="","",MAX(0,MIN(1,$N90)))</f>
        <v/>
      </c>
      <c r="P90" s="18">
        <f>IF($A90="","",ROUND(w_PBR*$F90+w_NetCash*$H90+w_Liq*$J90+w_Return*$M90+w_GovAct*$O90,2))</f>
        <v/>
      </c>
      <c r="Q90" s="19">
        <f>IF($A90="","",$P90+(100000-ROW())/100000000)</f>
        <v/>
      </c>
      <c r="R90">
        <f>IF($A90="","",IF($D90&lt;&gt;1,"",RANK.EQ($Q90,$Q$3:$Q$202,0)))</f>
        <v/>
      </c>
      <c r="S90">
        <f>IF($A90="","",IF($D90=1,"",Derived!L90))</f>
        <v/>
      </c>
      <c r="T90" s="19">
        <f>IF($D90=1,$Q90,"")</f>
        <v/>
      </c>
    </row>
    <row r="91">
      <c r="A91">
        <f>Derived!A91</f>
        <v/>
      </c>
      <c r="B91">
        <f>Derived!B91</f>
        <v/>
      </c>
      <c r="C91">
        <f>Derived!C91</f>
        <v/>
      </c>
      <c r="D91">
        <f>Derived!K91</f>
        <v/>
      </c>
      <c r="E91" s="16">
        <f>Derived!F91</f>
        <v/>
      </c>
      <c r="F91">
        <f>IF(OR($E91=""),"",MAX(0,MIN(1,(cfg_PBR_max-MIN($E91,cfg_PBR_max))/(cfg_PBR_max-cfg_PBR_floor))))</f>
        <v/>
      </c>
      <c r="G91" s="17">
        <f>Derived!H91</f>
        <v/>
      </c>
      <c r="H91">
        <f>IF(OR($G91=""),"",MAX(0,MIN(1,MIN($G91,cap_NetCashPct)/cap_NetCashPct)))</f>
        <v/>
      </c>
      <c r="I91" s="15">
        <f>Derived!J91</f>
        <v/>
      </c>
      <c r="J91">
        <f>IF(OR($I91=""),"",MAX(0,MIN(1,($I91-cfg_Liq_min)/(cfg_Liq_cap-cfg_Liq_min))))</f>
        <v/>
      </c>
      <c r="K91" s="17">
        <f>Fundamentals!P91</f>
        <v/>
      </c>
      <c r="L91" s="17">
        <f>Fundamentals!Q91</f>
        <v/>
      </c>
      <c r="M91">
        <f>IF(AND($K91="",$L91=""),"",MIN(1,IF($K91="",0,MIN($K91,cap_DivYield)/cap_DivYield)*0.5+IF($L91="",0,MIN($L91,cap_BuybackYield)/cap_BuybackYield)*0.5))</f>
        <v/>
      </c>
      <c r="N91">
        <f>IF($A91="","",AVERAGE(IF(Fundamentals!R91="",0,Fundamentals!R91),IF(Fundamentals!S91="",0,Fundamentals!S91),IF(Fundamentals!T91="",0,Fundamentals!T91)))</f>
        <v/>
      </c>
      <c r="O91">
        <f>IF($A91="","",MAX(0,MIN(1,$N91)))</f>
        <v/>
      </c>
      <c r="P91" s="18">
        <f>IF($A91="","",ROUND(w_PBR*$F91+w_NetCash*$H91+w_Liq*$J91+w_Return*$M91+w_GovAct*$O91,2))</f>
        <v/>
      </c>
      <c r="Q91" s="19">
        <f>IF($A91="","",$P91+(100000-ROW())/100000000)</f>
        <v/>
      </c>
      <c r="R91">
        <f>IF($A91="","",IF($D91&lt;&gt;1,"",RANK.EQ($Q91,$Q$3:$Q$202,0)))</f>
        <v/>
      </c>
      <c r="S91">
        <f>IF($A91="","",IF($D91=1,"",Derived!L91))</f>
        <v/>
      </c>
      <c r="T91" s="19">
        <f>IF($D91=1,$Q91,"")</f>
        <v/>
      </c>
    </row>
    <row r="92">
      <c r="A92">
        <f>Derived!A92</f>
        <v/>
      </c>
      <c r="B92">
        <f>Derived!B92</f>
        <v/>
      </c>
      <c r="C92">
        <f>Derived!C92</f>
        <v/>
      </c>
      <c r="D92">
        <f>Derived!K92</f>
        <v/>
      </c>
      <c r="E92" s="16">
        <f>Derived!F92</f>
        <v/>
      </c>
      <c r="F92">
        <f>IF(OR($E92=""),"",MAX(0,MIN(1,(cfg_PBR_max-MIN($E92,cfg_PBR_max))/(cfg_PBR_max-cfg_PBR_floor))))</f>
        <v/>
      </c>
      <c r="G92" s="17">
        <f>Derived!H92</f>
        <v/>
      </c>
      <c r="H92">
        <f>IF(OR($G92=""),"",MAX(0,MIN(1,MIN($G92,cap_NetCashPct)/cap_NetCashPct)))</f>
        <v/>
      </c>
      <c r="I92" s="15">
        <f>Derived!J92</f>
        <v/>
      </c>
      <c r="J92">
        <f>IF(OR($I92=""),"",MAX(0,MIN(1,($I92-cfg_Liq_min)/(cfg_Liq_cap-cfg_Liq_min))))</f>
        <v/>
      </c>
      <c r="K92" s="17">
        <f>Fundamentals!P92</f>
        <v/>
      </c>
      <c r="L92" s="17">
        <f>Fundamentals!Q92</f>
        <v/>
      </c>
      <c r="M92">
        <f>IF(AND($K92="",$L92=""),"",MIN(1,IF($K92="",0,MIN($K92,cap_DivYield)/cap_DivYield)*0.5+IF($L92="",0,MIN($L92,cap_BuybackYield)/cap_BuybackYield)*0.5))</f>
        <v/>
      </c>
      <c r="N92">
        <f>IF($A92="","",AVERAGE(IF(Fundamentals!R92="",0,Fundamentals!R92),IF(Fundamentals!S92="",0,Fundamentals!S92),IF(Fundamentals!T92="",0,Fundamentals!T92)))</f>
        <v/>
      </c>
      <c r="O92">
        <f>IF($A92="","",MAX(0,MIN(1,$N92)))</f>
        <v/>
      </c>
      <c r="P92" s="18">
        <f>IF($A92="","",ROUND(w_PBR*$F92+w_NetCash*$H92+w_Liq*$J92+w_Return*$M92+w_GovAct*$O92,2))</f>
        <v/>
      </c>
      <c r="Q92" s="19">
        <f>IF($A92="","",$P92+(100000-ROW())/100000000)</f>
        <v/>
      </c>
      <c r="R92">
        <f>IF($A92="","",IF($D92&lt;&gt;1,"",RANK.EQ($Q92,$Q$3:$Q$202,0)))</f>
        <v/>
      </c>
      <c r="S92">
        <f>IF($A92="","",IF($D92=1,"",Derived!L92))</f>
        <v/>
      </c>
      <c r="T92" s="19">
        <f>IF($D92=1,$Q92,"")</f>
        <v/>
      </c>
    </row>
    <row r="93">
      <c r="A93">
        <f>Derived!A93</f>
        <v/>
      </c>
      <c r="B93">
        <f>Derived!B93</f>
        <v/>
      </c>
      <c r="C93">
        <f>Derived!C93</f>
        <v/>
      </c>
      <c r="D93">
        <f>Derived!K93</f>
        <v/>
      </c>
      <c r="E93" s="16">
        <f>Derived!F93</f>
        <v/>
      </c>
      <c r="F93">
        <f>IF(OR($E93=""),"",MAX(0,MIN(1,(cfg_PBR_max-MIN($E93,cfg_PBR_max))/(cfg_PBR_max-cfg_PBR_floor))))</f>
        <v/>
      </c>
      <c r="G93" s="17">
        <f>Derived!H93</f>
        <v/>
      </c>
      <c r="H93">
        <f>IF(OR($G93=""),"",MAX(0,MIN(1,MIN($G93,cap_NetCashPct)/cap_NetCashPct)))</f>
        <v/>
      </c>
      <c r="I93" s="15">
        <f>Derived!J93</f>
        <v/>
      </c>
      <c r="J93">
        <f>IF(OR($I93=""),"",MAX(0,MIN(1,($I93-cfg_Liq_min)/(cfg_Liq_cap-cfg_Liq_min))))</f>
        <v/>
      </c>
      <c r="K93" s="17">
        <f>Fundamentals!P93</f>
        <v/>
      </c>
      <c r="L93" s="17">
        <f>Fundamentals!Q93</f>
        <v/>
      </c>
      <c r="M93">
        <f>IF(AND($K93="",$L93=""),"",MIN(1,IF($K93="",0,MIN($K93,cap_DivYield)/cap_DivYield)*0.5+IF($L93="",0,MIN($L93,cap_BuybackYield)/cap_BuybackYield)*0.5))</f>
        <v/>
      </c>
      <c r="N93">
        <f>IF($A93="","",AVERAGE(IF(Fundamentals!R93="",0,Fundamentals!R93),IF(Fundamentals!S93="",0,Fundamentals!S93),IF(Fundamentals!T93="",0,Fundamentals!T93)))</f>
        <v/>
      </c>
      <c r="O93">
        <f>IF($A93="","",MAX(0,MIN(1,$N93)))</f>
        <v/>
      </c>
      <c r="P93" s="18">
        <f>IF($A93="","",ROUND(w_PBR*$F93+w_NetCash*$H93+w_Liq*$J93+w_Return*$M93+w_GovAct*$O93,2))</f>
        <v/>
      </c>
      <c r="Q93" s="19">
        <f>IF($A93="","",$P93+(100000-ROW())/100000000)</f>
        <v/>
      </c>
      <c r="R93">
        <f>IF($A93="","",IF($D93&lt;&gt;1,"",RANK.EQ($Q93,$Q$3:$Q$202,0)))</f>
        <v/>
      </c>
      <c r="S93">
        <f>IF($A93="","",IF($D93=1,"",Derived!L93))</f>
        <v/>
      </c>
      <c r="T93" s="19">
        <f>IF($D93=1,$Q93,"")</f>
        <v/>
      </c>
    </row>
    <row r="94">
      <c r="A94">
        <f>Derived!A94</f>
        <v/>
      </c>
      <c r="B94">
        <f>Derived!B94</f>
        <v/>
      </c>
      <c r="C94">
        <f>Derived!C94</f>
        <v/>
      </c>
      <c r="D94">
        <f>Derived!K94</f>
        <v/>
      </c>
      <c r="E94" s="16">
        <f>Derived!F94</f>
        <v/>
      </c>
      <c r="F94">
        <f>IF(OR($E94=""),"",MAX(0,MIN(1,(cfg_PBR_max-MIN($E94,cfg_PBR_max))/(cfg_PBR_max-cfg_PBR_floor))))</f>
        <v/>
      </c>
      <c r="G94" s="17">
        <f>Derived!H94</f>
        <v/>
      </c>
      <c r="H94">
        <f>IF(OR($G94=""),"",MAX(0,MIN(1,MIN($G94,cap_NetCashPct)/cap_NetCashPct)))</f>
        <v/>
      </c>
      <c r="I94" s="15">
        <f>Derived!J94</f>
        <v/>
      </c>
      <c r="J94">
        <f>IF(OR($I94=""),"",MAX(0,MIN(1,($I94-cfg_Liq_min)/(cfg_Liq_cap-cfg_Liq_min))))</f>
        <v/>
      </c>
      <c r="K94" s="17">
        <f>Fundamentals!P94</f>
        <v/>
      </c>
      <c r="L94" s="17">
        <f>Fundamentals!Q94</f>
        <v/>
      </c>
      <c r="M94">
        <f>IF(AND($K94="",$L94=""),"",MIN(1,IF($K94="",0,MIN($K94,cap_DivYield)/cap_DivYield)*0.5+IF($L94="",0,MIN($L94,cap_BuybackYield)/cap_BuybackYield)*0.5))</f>
        <v/>
      </c>
      <c r="N94">
        <f>IF($A94="","",AVERAGE(IF(Fundamentals!R94="",0,Fundamentals!R94),IF(Fundamentals!S94="",0,Fundamentals!S94),IF(Fundamentals!T94="",0,Fundamentals!T94)))</f>
        <v/>
      </c>
      <c r="O94">
        <f>IF($A94="","",MAX(0,MIN(1,$N94)))</f>
        <v/>
      </c>
      <c r="P94" s="18">
        <f>IF($A94="","",ROUND(w_PBR*$F94+w_NetCash*$H94+w_Liq*$J94+w_Return*$M94+w_GovAct*$O94,2))</f>
        <v/>
      </c>
      <c r="Q94" s="19">
        <f>IF($A94="","",$P94+(100000-ROW())/100000000)</f>
        <v/>
      </c>
      <c r="R94">
        <f>IF($A94="","",IF($D94&lt;&gt;1,"",RANK.EQ($Q94,$Q$3:$Q$202,0)))</f>
        <v/>
      </c>
      <c r="S94">
        <f>IF($A94="","",IF($D94=1,"",Derived!L94))</f>
        <v/>
      </c>
      <c r="T94" s="19">
        <f>IF($D94=1,$Q94,"")</f>
        <v/>
      </c>
    </row>
    <row r="95">
      <c r="A95">
        <f>Derived!A95</f>
        <v/>
      </c>
      <c r="B95">
        <f>Derived!B95</f>
        <v/>
      </c>
      <c r="C95">
        <f>Derived!C95</f>
        <v/>
      </c>
      <c r="D95">
        <f>Derived!K95</f>
        <v/>
      </c>
      <c r="E95" s="16">
        <f>Derived!F95</f>
        <v/>
      </c>
      <c r="F95">
        <f>IF(OR($E95=""),"",MAX(0,MIN(1,(cfg_PBR_max-MIN($E95,cfg_PBR_max))/(cfg_PBR_max-cfg_PBR_floor))))</f>
        <v/>
      </c>
      <c r="G95" s="17">
        <f>Derived!H95</f>
        <v/>
      </c>
      <c r="H95">
        <f>IF(OR($G95=""),"",MAX(0,MIN(1,MIN($G95,cap_NetCashPct)/cap_NetCashPct)))</f>
        <v/>
      </c>
      <c r="I95" s="15">
        <f>Derived!J95</f>
        <v/>
      </c>
      <c r="J95">
        <f>IF(OR($I95=""),"",MAX(0,MIN(1,($I95-cfg_Liq_min)/(cfg_Liq_cap-cfg_Liq_min))))</f>
        <v/>
      </c>
      <c r="K95" s="17">
        <f>Fundamentals!P95</f>
        <v/>
      </c>
      <c r="L95" s="17">
        <f>Fundamentals!Q95</f>
        <v/>
      </c>
      <c r="M95">
        <f>IF(AND($K95="",$L95=""),"",MIN(1,IF($K95="",0,MIN($K95,cap_DivYield)/cap_DivYield)*0.5+IF($L95="",0,MIN($L95,cap_BuybackYield)/cap_BuybackYield)*0.5))</f>
        <v/>
      </c>
      <c r="N95">
        <f>IF($A95="","",AVERAGE(IF(Fundamentals!R95="",0,Fundamentals!R95),IF(Fundamentals!S95="",0,Fundamentals!S95),IF(Fundamentals!T95="",0,Fundamentals!T95)))</f>
        <v/>
      </c>
      <c r="O95">
        <f>IF($A95="","",MAX(0,MIN(1,$N95)))</f>
        <v/>
      </c>
      <c r="P95" s="18">
        <f>IF($A95="","",ROUND(w_PBR*$F95+w_NetCash*$H95+w_Liq*$J95+w_Return*$M95+w_GovAct*$O95,2))</f>
        <v/>
      </c>
      <c r="Q95" s="19">
        <f>IF($A95="","",$P95+(100000-ROW())/100000000)</f>
        <v/>
      </c>
      <c r="R95">
        <f>IF($A95="","",IF($D95&lt;&gt;1,"",RANK.EQ($Q95,$Q$3:$Q$202,0)))</f>
        <v/>
      </c>
      <c r="S95">
        <f>IF($A95="","",IF($D95=1,"",Derived!L95))</f>
        <v/>
      </c>
      <c r="T95" s="19">
        <f>IF($D95=1,$Q95,"")</f>
        <v/>
      </c>
    </row>
    <row r="96">
      <c r="A96">
        <f>Derived!A96</f>
        <v/>
      </c>
      <c r="B96">
        <f>Derived!B96</f>
        <v/>
      </c>
      <c r="C96">
        <f>Derived!C96</f>
        <v/>
      </c>
      <c r="D96">
        <f>Derived!K96</f>
        <v/>
      </c>
      <c r="E96" s="16">
        <f>Derived!F96</f>
        <v/>
      </c>
      <c r="F96">
        <f>IF(OR($E96=""),"",MAX(0,MIN(1,(cfg_PBR_max-MIN($E96,cfg_PBR_max))/(cfg_PBR_max-cfg_PBR_floor))))</f>
        <v/>
      </c>
      <c r="G96" s="17">
        <f>Derived!H96</f>
        <v/>
      </c>
      <c r="H96">
        <f>IF(OR($G96=""),"",MAX(0,MIN(1,MIN($G96,cap_NetCashPct)/cap_NetCashPct)))</f>
        <v/>
      </c>
      <c r="I96" s="15">
        <f>Derived!J96</f>
        <v/>
      </c>
      <c r="J96">
        <f>IF(OR($I96=""),"",MAX(0,MIN(1,($I96-cfg_Liq_min)/(cfg_Liq_cap-cfg_Liq_min))))</f>
        <v/>
      </c>
      <c r="K96" s="17">
        <f>Fundamentals!P96</f>
        <v/>
      </c>
      <c r="L96" s="17">
        <f>Fundamentals!Q96</f>
        <v/>
      </c>
      <c r="M96">
        <f>IF(AND($K96="",$L96=""),"",MIN(1,IF($K96="",0,MIN($K96,cap_DivYield)/cap_DivYield)*0.5+IF($L96="",0,MIN($L96,cap_BuybackYield)/cap_BuybackYield)*0.5))</f>
        <v/>
      </c>
      <c r="N96">
        <f>IF($A96="","",AVERAGE(IF(Fundamentals!R96="",0,Fundamentals!R96),IF(Fundamentals!S96="",0,Fundamentals!S96),IF(Fundamentals!T96="",0,Fundamentals!T96)))</f>
        <v/>
      </c>
      <c r="O96">
        <f>IF($A96="","",MAX(0,MIN(1,$N96)))</f>
        <v/>
      </c>
      <c r="P96" s="18">
        <f>IF($A96="","",ROUND(w_PBR*$F96+w_NetCash*$H96+w_Liq*$J96+w_Return*$M96+w_GovAct*$O96,2))</f>
        <v/>
      </c>
      <c r="Q96" s="19">
        <f>IF($A96="","",$P96+(100000-ROW())/100000000)</f>
        <v/>
      </c>
      <c r="R96">
        <f>IF($A96="","",IF($D96&lt;&gt;1,"",RANK.EQ($Q96,$Q$3:$Q$202,0)))</f>
        <v/>
      </c>
      <c r="S96">
        <f>IF($A96="","",IF($D96=1,"",Derived!L96))</f>
        <v/>
      </c>
      <c r="T96" s="19">
        <f>IF($D96=1,$Q96,"")</f>
        <v/>
      </c>
    </row>
    <row r="97">
      <c r="A97">
        <f>Derived!A97</f>
        <v/>
      </c>
      <c r="B97">
        <f>Derived!B97</f>
        <v/>
      </c>
      <c r="C97">
        <f>Derived!C97</f>
        <v/>
      </c>
      <c r="D97">
        <f>Derived!K97</f>
        <v/>
      </c>
      <c r="E97" s="16">
        <f>Derived!F97</f>
        <v/>
      </c>
      <c r="F97">
        <f>IF(OR($E97=""),"",MAX(0,MIN(1,(cfg_PBR_max-MIN($E97,cfg_PBR_max))/(cfg_PBR_max-cfg_PBR_floor))))</f>
        <v/>
      </c>
      <c r="G97" s="17">
        <f>Derived!H97</f>
        <v/>
      </c>
      <c r="H97">
        <f>IF(OR($G97=""),"",MAX(0,MIN(1,MIN($G97,cap_NetCashPct)/cap_NetCashPct)))</f>
        <v/>
      </c>
      <c r="I97" s="15">
        <f>Derived!J97</f>
        <v/>
      </c>
      <c r="J97">
        <f>IF(OR($I97=""),"",MAX(0,MIN(1,($I97-cfg_Liq_min)/(cfg_Liq_cap-cfg_Liq_min))))</f>
        <v/>
      </c>
      <c r="K97" s="17">
        <f>Fundamentals!P97</f>
        <v/>
      </c>
      <c r="L97" s="17">
        <f>Fundamentals!Q97</f>
        <v/>
      </c>
      <c r="M97">
        <f>IF(AND($K97="",$L97=""),"",MIN(1,IF($K97="",0,MIN($K97,cap_DivYield)/cap_DivYield)*0.5+IF($L97="",0,MIN($L97,cap_BuybackYield)/cap_BuybackYield)*0.5))</f>
        <v/>
      </c>
      <c r="N97">
        <f>IF($A97="","",AVERAGE(IF(Fundamentals!R97="",0,Fundamentals!R97),IF(Fundamentals!S97="",0,Fundamentals!S97),IF(Fundamentals!T97="",0,Fundamentals!T97)))</f>
        <v/>
      </c>
      <c r="O97">
        <f>IF($A97="","",MAX(0,MIN(1,$N97)))</f>
        <v/>
      </c>
      <c r="P97" s="18">
        <f>IF($A97="","",ROUND(w_PBR*$F97+w_NetCash*$H97+w_Liq*$J97+w_Return*$M97+w_GovAct*$O97,2))</f>
        <v/>
      </c>
      <c r="Q97" s="19">
        <f>IF($A97="","",$P97+(100000-ROW())/100000000)</f>
        <v/>
      </c>
      <c r="R97">
        <f>IF($A97="","",IF($D97&lt;&gt;1,"",RANK.EQ($Q97,$Q$3:$Q$202,0)))</f>
        <v/>
      </c>
      <c r="S97">
        <f>IF($A97="","",IF($D97=1,"",Derived!L97))</f>
        <v/>
      </c>
      <c r="T97" s="19">
        <f>IF($D97=1,$Q97,"")</f>
        <v/>
      </c>
    </row>
    <row r="98">
      <c r="A98">
        <f>Derived!A98</f>
        <v/>
      </c>
      <c r="B98">
        <f>Derived!B98</f>
        <v/>
      </c>
      <c r="C98">
        <f>Derived!C98</f>
        <v/>
      </c>
      <c r="D98">
        <f>Derived!K98</f>
        <v/>
      </c>
      <c r="E98" s="16">
        <f>Derived!F98</f>
        <v/>
      </c>
      <c r="F98">
        <f>IF(OR($E98=""),"",MAX(0,MIN(1,(cfg_PBR_max-MIN($E98,cfg_PBR_max))/(cfg_PBR_max-cfg_PBR_floor))))</f>
        <v/>
      </c>
      <c r="G98" s="17">
        <f>Derived!H98</f>
        <v/>
      </c>
      <c r="H98">
        <f>IF(OR($G98=""),"",MAX(0,MIN(1,MIN($G98,cap_NetCashPct)/cap_NetCashPct)))</f>
        <v/>
      </c>
      <c r="I98" s="15">
        <f>Derived!J98</f>
        <v/>
      </c>
      <c r="J98">
        <f>IF(OR($I98=""),"",MAX(0,MIN(1,($I98-cfg_Liq_min)/(cfg_Liq_cap-cfg_Liq_min))))</f>
        <v/>
      </c>
      <c r="K98" s="17">
        <f>Fundamentals!P98</f>
        <v/>
      </c>
      <c r="L98" s="17">
        <f>Fundamentals!Q98</f>
        <v/>
      </c>
      <c r="M98">
        <f>IF(AND($K98="",$L98=""),"",MIN(1,IF($K98="",0,MIN($K98,cap_DivYield)/cap_DivYield)*0.5+IF($L98="",0,MIN($L98,cap_BuybackYield)/cap_BuybackYield)*0.5))</f>
        <v/>
      </c>
      <c r="N98">
        <f>IF($A98="","",AVERAGE(IF(Fundamentals!R98="",0,Fundamentals!R98),IF(Fundamentals!S98="",0,Fundamentals!S98),IF(Fundamentals!T98="",0,Fundamentals!T98)))</f>
        <v/>
      </c>
      <c r="O98">
        <f>IF($A98="","",MAX(0,MIN(1,$N98)))</f>
        <v/>
      </c>
      <c r="P98" s="18">
        <f>IF($A98="","",ROUND(w_PBR*$F98+w_NetCash*$H98+w_Liq*$J98+w_Return*$M98+w_GovAct*$O98,2))</f>
        <v/>
      </c>
      <c r="Q98" s="19">
        <f>IF($A98="","",$P98+(100000-ROW())/100000000)</f>
        <v/>
      </c>
      <c r="R98">
        <f>IF($A98="","",IF($D98&lt;&gt;1,"",RANK.EQ($Q98,$Q$3:$Q$202,0)))</f>
        <v/>
      </c>
      <c r="S98">
        <f>IF($A98="","",IF($D98=1,"",Derived!L98))</f>
        <v/>
      </c>
      <c r="T98" s="19">
        <f>IF($D98=1,$Q98,"")</f>
        <v/>
      </c>
    </row>
    <row r="99">
      <c r="A99">
        <f>Derived!A99</f>
        <v/>
      </c>
      <c r="B99">
        <f>Derived!B99</f>
        <v/>
      </c>
      <c r="C99">
        <f>Derived!C99</f>
        <v/>
      </c>
      <c r="D99">
        <f>Derived!K99</f>
        <v/>
      </c>
      <c r="E99" s="16">
        <f>Derived!F99</f>
        <v/>
      </c>
      <c r="F99">
        <f>IF(OR($E99=""),"",MAX(0,MIN(1,(cfg_PBR_max-MIN($E99,cfg_PBR_max))/(cfg_PBR_max-cfg_PBR_floor))))</f>
        <v/>
      </c>
      <c r="G99" s="17">
        <f>Derived!H99</f>
        <v/>
      </c>
      <c r="H99">
        <f>IF(OR($G99=""),"",MAX(0,MIN(1,MIN($G99,cap_NetCashPct)/cap_NetCashPct)))</f>
        <v/>
      </c>
      <c r="I99" s="15">
        <f>Derived!J99</f>
        <v/>
      </c>
      <c r="J99">
        <f>IF(OR($I99=""),"",MAX(0,MIN(1,($I99-cfg_Liq_min)/(cfg_Liq_cap-cfg_Liq_min))))</f>
        <v/>
      </c>
      <c r="K99" s="17">
        <f>Fundamentals!P99</f>
        <v/>
      </c>
      <c r="L99" s="17">
        <f>Fundamentals!Q99</f>
        <v/>
      </c>
      <c r="M99">
        <f>IF(AND($K99="",$L99=""),"",MIN(1,IF($K99="",0,MIN($K99,cap_DivYield)/cap_DivYield)*0.5+IF($L99="",0,MIN($L99,cap_BuybackYield)/cap_BuybackYield)*0.5))</f>
        <v/>
      </c>
      <c r="N99">
        <f>IF($A99="","",AVERAGE(IF(Fundamentals!R99="",0,Fundamentals!R99),IF(Fundamentals!S99="",0,Fundamentals!S99),IF(Fundamentals!T99="",0,Fundamentals!T99)))</f>
        <v/>
      </c>
      <c r="O99">
        <f>IF($A99="","",MAX(0,MIN(1,$N99)))</f>
        <v/>
      </c>
      <c r="P99" s="18">
        <f>IF($A99="","",ROUND(w_PBR*$F99+w_NetCash*$H99+w_Liq*$J99+w_Return*$M99+w_GovAct*$O99,2))</f>
        <v/>
      </c>
      <c r="Q99" s="19">
        <f>IF($A99="","",$P99+(100000-ROW())/100000000)</f>
        <v/>
      </c>
      <c r="R99">
        <f>IF($A99="","",IF($D99&lt;&gt;1,"",RANK.EQ($Q99,$Q$3:$Q$202,0)))</f>
        <v/>
      </c>
      <c r="S99">
        <f>IF($A99="","",IF($D99=1,"",Derived!L99))</f>
        <v/>
      </c>
      <c r="T99" s="19">
        <f>IF($D99=1,$Q99,"")</f>
        <v/>
      </c>
    </row>
    <row r="100">
      <c r="A100">
        <f>Derived!A100</f>
        <v/>
      </c>
      <c r="B100">
        <f>Derived!B100</f>
        <v/>
      </c>
      <c r="C100">
        <f>Derived!C100</f>
        <v/>
      </c>
      <c r="D100">
        <f>Derived!K100</f>
        <v/>
      </c>
      <c r="E100" s="16">
        <f>Derived!F100</f>
        <v/>
      </c>
      <c r="F100">
        <f>IF(OR($E100=""),"",MAX(0,MIN(1,(cfg_PBR_max-MIN($E100,cfg_PBR_max))/(cfg_PBR_max-cfg_PBR_floor))))</f>
        <v/>
      </c>
      <c r="G100" s="17">
        <f>Derived!H100</f>
        <v/>
      </c>
      <c r="H100">
        <f>IF(OR($G100=""),"",MAX(0,MIN(1,MIN($G100,cap_NetCashPct)/cap_NetCashPct)))</f>
        <v/>
      </c>
      <c r="I100" s="15">
        <f>Derived!J100</f>
        <v/>
      </c>
      <c r="J100">
        <f>IF(OR($I100=""),"",MAX(0,MIN(1,($I100-cfg_Liq_min)/(cfg_Liq_cap-cfg_Liq_min))))</f>
        <v/>
      </c>
      <c r="K100" s="17">
        <f>Fundamentals!P100</f>
        <v/>
      </c>
      <c r="L100" s="17">
        <f>Fundamentals!Q100</f>
        <v/>
      </c>
      <c r="M100">
        <f>IF(AND($K100="",$L100=""),"",MIN(1,IF($K100="",0,MIN($K100,cap_DivYield)/cap_DivYield)*0.5+IF($L100="",0,MIN($L100,cap_BuybackYield)/cap_BuybackYield)*0.5))</f>
        <v/>
      </c>
      <c r="N100">
        <f>IF($A100="","",AVERAGE(IF(Fundamentals!R100="",0,Fundamentals!R100),IF(Fundamentals!S100="",0,Fundamentals!S100),IF(Fundamentals!T100="",0,Fundamentals!T100)))</f>
        <v/>
      </c>
      <c r="O100">
        <f>IF($A100="","",MAX(0,MIN(1,$N100)))</f>
        <v/>
      </c>
      <c r="P100" s="18">
        <f>IF($A100="","",ROUND(w_PBR*$F100+w_NetCash*$H100+w_Liq*$J100+w_Return*$M100+w_GovAct*$O100,2))</f>
        <v/>
      </c>
      <c r="Q100" s="19">
        <f>IF($A100="","",$P100+(100000-ROW())/100000000)</f>
        <v/>
      </c>
      <c r="R100">
        <f>IF($A100="","",IF($D100&lt;&gt;1,"",RANK.EQ($Q100,$Q$3:$Q$202,0)))</f>
        <v/>
      </c>
      <c r="S100">
        <f>IF($A100="","",IF($D100=1,"",Derived!L100))</f>
        <v/>
      </c>
      <c r="T100" s="19">
        <f>IF($D100=1,$Q100,"")</f>
        <v/>
      </c>
    </row>
    <row r="101">
      <c r="A101">
        <f>Derived!A101</f>
        <v/>
      </c>
      <c r="B101">
        <f>Derived!B101</f>
        <v/>
      </c>
      <c r="C101">
        <f>Derived!C101</f>
        <v/>
      </c>
      <c r="D101">
        <f>Derived!K101</f>
        <v/>
      </c>
      <c r="E101" s="16">
        <f>Derived!F101</f>
        <v/>
      </c>
      <c r="F101">
        <f>IF(OR($E101=""),"",MAX(0,MIN(1,(cfg_PBR_max-MIN($E101,cfg_PBR_max))/(cfg_PBR_max-cfg_PBR_floor))))</f>
        <v/>
      </c>
      <c r="G101" s="17">
        <f>Derived!H101</f>
        <v/>
      </c>
      <c r="H101">
        <f>IF(OR($G101=""),"",MAX(0,MIN(1,MIN($G101,cap_NetCashPct)/cap_NetCashPct)))</f>
        <v/>
      </c>
      <c r="I101" s="15">
        <f>Derived!J101</f>
        <v/>
      </c>
      <c r="J101">
        <f>IF(OR($I101=""),"",MAX(0,MIN(1,($I101-cfg_Liq_min)/(cfg_Liq_cap-cfg_Liq_min))))</f>
        <v/>
      </c>
      <c r="K101" s="17">
        <f>Fundamentals!P101</f>
        <v/>
      </c>
      <c r="L101" s="17">
        <f>Fundamentals!Q101</f>
        <v/>
      </c>
      <c r="M101">
        <f>IF(AND($K101="",$L101=""),"",MIN(1,IF($K101="",0,MIN($K101,cap_DivYield)/cap_DivYield)*0.5+IF($L101="",0,MIN($L101,cap_BuybackYield)/cap_BuybackYield)*0.5))</f>
        <v/>
      </c>
      <c r="N101">
        <f>IF($A101="","",AVERAGE(IF(Fundamentals!R101="",0,Fundamentals!R101),IF(Fundamentals!S101="",0,Fundamentals!S101),IF(Fundamentals!T101="",0,Fundamentals!T101)))</f>
        <v/>
      </c>
      <c r="O101">
        <f>IF($A101="","",MAX(0,MIN(1,$N101)))</f>
        <v/>
      </c>
      <c r="P101" s="18">
        <f>IF($A101="","",ROUND(w_PBR*$F101+w_NetCash*$H101+w_Liq*$J101+w_Return*$M101+w_GovAct*$O101,2))</f>
        <v/>
      </c>
      <c r="Q101" s="19">
        <f>IF($A101="","",$P101+(100000-ROW())/100000000)</f>
        <v/>
      </c>
      <c r="R101">
        <f>IF($A101="","",IF($D101&lt;&gt;1,"",RANK.EQ($Q101,$Q$3:$Q$202,0)))</f>
        <v/>
      </c>
      <c r="S101">
        <f>IF($A101="","",IF($D101=1,"",Derived!L101))</f>
        <v/>
      </c>
      <c r="T101" s="19">
        <f>IF($D101=1,$Q101,"")</f>
        <v/>
      </c>
    </row>
    <row r="102">
      <c r="A102">
        <f>Derived!A102</f>
        <v/>
      </c>
      <c r="B102">
        <f>Derived!B102</f>
        <v/>
      </c>
      <c r="C102">
        <f>Derived!C102</f>
        <v/>
      </c>
      <c r="D102">
        <f>Derived!K102</f>
        <v/>
      </c>
      <c r="E102" s="16">
        <f>Derived!F102</f>
        <v/>
      </c>
      <c r="F102">
        <f>IF(OR($E102=""),"",MAX(0,MIN(1,(cfg_PBR_max-MIN($E102,cfg_PBR_max))/(cfg_PBR_max-cfg_PBR_floor))))</f>
        <v/>
      </c>
      <c r="G102" s="17">
        <f>Derived!H102</f>
        <v/>
      </c>
      <c r="H102">
        <f>IF(OR($G102=""),"",MAX(0,MIN(1,MIN($G102,cap_NetCashPct)/cap_NetCashPct)))</f>
        <v/>
      </c>
      <c r="I102" s="15">
        <f>Derived!J102</f>
        <v/>
      </c>
      <c r="J102">
        <f>IF(OR($I102=""),"",MAX(0,MIN(1,($I102-cfg_Liq_min)/(cfg_Liq_cap-cfg_Liq_min))))</f>
        <v/>
      </c>
      <c r="K102" s="17">
        <f>Fundamentals!P102</f>
        <v/>
      </c>
      <c r="L102" s="17">
        <f>Fundamentals!Q102</f>
        <v/>
      </c>
      <c r="M102">
        <f>IF(AND($K102="",$L102=""),"",MIN(1,IF($K102="",0,MIN($K102,cap_DivYield)/cap_DivYield)*0.5+IF($L102="",0,MIN($L102,cap_BuybackYield)/cap_BuybackYield)*0.5))</f>
        <v/>
      </c>
      <c r="N102">
        <f>IF($A102="","",AVERAGE(IF(Fundamentals!R102="",0,Fundamentals!R102),IF(Fundamentals!S102="",0,Fundamentals!S102),IF(Fundamentals!T102="",0,Fundamentals!T102)))</f>
        <v/>
      </c>
      <c r="O102">
        <f>IF($A102="","",MAX(0,MIN(1,$N102)))</f>
        <v/>
      </c>
      <c r="P102" s="18">
        <f>IF($A102="","",ROUND(w_PBR*$F102+w_NetCash*$H102+w_Liq*$J102+w_Return*$M102+w_GovAct*$O102,2))</f>
        <v/>
      </c>
      <c r="Q102" s="19">
        <f>IF($A102="","",$P102+(100000-ROW())/100000000)</f>
        <v/>
      </c>
      <c r="R102">
        <f>IF($A102="","",IF($D102&lt;&gt;1,"",RANK.EQ($Q102,$Q$3:$Q$202,0)))</f>
        <v/>
      </c>
      <c r="S102">
        <f>IF($A102="","",IF($D102=1,"",Derived!L102))</f>
        <v/>
      </c>
      <c r="T102" s="19">
        <f>IF($D102=1,$Q102,"")</f>
        <v/>
      </c>
    </row>
    <row r="103">
      <c r="A103">
        <f>Derived!A103</f>
        <v/>
      </c>
      <c r="B103">
        <f>Derived!B103</f>
        <v/>
      </c>
      <c r="C103">
        <f>Derived!C103</f>
        <v/>
      </c>
      <c r="D103">
        <f>Derived!K103</f>
        <v/>
      </c>
      <c r="E103" s="16">
        <f>Derived!F103</f>
        <v/>
      </c>
      <c r="F103">
        <f>IF(OR($E103=""),"",MAX(0,MIN(1,(cfg_PBR_max-MIN($E103,cfg_PBR_max))/(cfg_PBR_max-cfg_PBR_floor))))</f>
        <v/>
      </c>
      <c r="G103" s="17">
        <f>Derived!H103</f>
        <v/>
      </c>
      <c r="H103">
        <f>IF(OR($G103=""),"",MAX(0,MIN(1,MIN($G103,cap_NetCashPct)/cap_NetCashPct)))</f>
        <v/>
      </c>
      <c r="I103" s="15">
        <f>Derived!J103</f>
        <v/>
      </c>
      <c r="J103">
        <f>IF(OR($I103=""),"",MAX(0,MIN(1,($I103-cfg_Liq_min)/(cfg_Liq_cap-cfg_Liq_min))))</f>
        <v/>
      </c>
      <c r="K103" s="17">
        <f>Fundamentals!P103</f>
        <v/>
      </c>
      <c r="L103" s="17">
        <f>Fundamentals!Q103</f>
        <v/>
      </c>
      <c r="M103">
        <f>IF(AND($K103="",$L103=""),"",MIN(1,IF($K103="",0,MIN($K103,cap_DivYield)/cap_DivYield)*0.5+IF($L103="",0,MIN($L103,cap_BuybackYield)/cap_BuybackYield)*0.5))</f>
        <v/>
      </c>
      <c r="N103">
        <f>IF($A103="","",AVERAGE(IF(Fundamentals!R103="",0,Fundamentals!R103),IF(Fundamentals!S103="",0,Fundamentals!S103),IF(Fundamentals!T103="",0,Fundamentals!T103)))</f>
        <v/>
      </c>
      <c r="O103">
        <f>IF($A103="","",MAX(0,MIN(1,$N103)))</f>
        <v/>
      </c>
      <c r="P103" s="18">
        <f>IF($A103="","",ROUND(w_PBR*$F103+w_NetCash*$H103+w_Liq*$J103+w_Return*$M103+w_GovAct*$O103,2))</f>
        <v/>
      </c>
      <c r="Q103" s="19">
        <f>IF($A103="","",$P103+(100000-ROW())/100000000)</f>
        <v/>
      </c>
      <c r="R103">
        <f>IF($A103="","",IF($D103&lt;&gt;1,"",RANK.EQ($Q103,$Q$3:$Q$202,0)))</f>
        <v/>
      </c>
      <c r="S103">
        <f>IF($A103="","",IF($D103=1,"",Derived!L103))</f>
        <v/>
      </c>
      <c r="T103" s="19">
        <f>IF($D103=1,$Q103,"")</f>
        <v/>
      </c>
    </row>
    <row r="104">
      <c r="A104">
        <f>Derived!A104</f>
        <v/>
      </c>
      <c r="B104">
        <f>Derived!B104</f>
        <v/>
      </c>
      <c r="C104">
        <f>Derived!C104</f>
        <v/>
      </c>
      <c r="D104">
        <f>Derived!K104</f>
        <v/>
      </c>
      <c r="E104" s="16">
        <f>Derived!F104</f>
        <v/>
      </c>
      <c r="F104">
        <f>IF(OR($E104=""),"",MAX(0,MIN(1,(cfg_PBR_max-MIN($E104,cfg_PBR_max))/(cfg_PBR_max-cfg_PBR_floor))))</f>
        <v/>
      </c>
      <c r="G104" s="17">
        <f>Derived!H104</f>
        <v/>
      </c>
      <c r="H104">
        <f>IF(OR($G104=""),"",MAX(0,MIN(1,MIN($G104,cap_NetCashPct)/cap_NetCashPct)))</f>
        <v/>
      </c>
      <c r="I104" s="15">
        <f>Derived!J104</f>
        <v/>
      </c>
      <c r="J104">
        <f>IF(OR($I104=""),"",MAX(0,MIN(1,($I104-cfg_Liq_min)/(cfg_Liq_cap-cfg_Liq_min))))</f>
        <v/>
      </c>
      <c r="K104" s="17">
        <f>Fundamentals!P104</f>
        <v/>
      </c>
      <c r="L104" s="17">
        <f>Fundamentals!Q104</f>
        <v/>
      </c>
      <c r="M104">
        <f>IF(AND($K104="",$L104=""),"",MIN(1,IF($K104="",0,MIN($K104,cap_DivYield)/cap_DivYield)*0.5+IF($L104="",0,MIN($L104,cap_BuybackYield)/cap_BuybackYield)*0.5))</f>
        <v/>
      </c>
      <c r="N104">
        <f>IF($A104="","",AVERAGE(IF(Fundamentals!R104="",0,Fundamentals!R104),IF(Fundamentals!S104="",0,Fundamentals!S104),IF(Fundamentals!T104="",0,Fundamentals!T104)))</f>
        <v/>
      </c>
      <c r="O104">
        <f>IF($A104="","",MAX(0,MIN(1,$N104)))</f>
        <v/>
      </c>
      <c r="P104" s="18">
        <f>IF($A104="","",ROUND(w_PBR*$F104+w_NetCash*$H104+w_Liq*$J104+w_Return*$M104+w_GovAct*$O104,2))</f>
        <v/>
      </c>
      <c r="Q104" s="19">
        <f>IF($A104="","",$P104+(100000-ROW())/100000000)</f>
        <v/>
      </c>
      <c r="R104">
        <f>IF($A104="","",IF($D104&lt;&gt;1,"",RANK.EQ($Q104,$Q$3:$Q$202,0)))</f>
        <v/>
      </c>
      <c r="S104">
        <f>IF($A104="","",IF($D104=1,"",Derived!L104))</f>
        <v/>
      </c>
      <c r="T104" s="19">
        <f>IF($D104=1,$Q104,"")</f>
        <v/>
      </c>
    </row>
    <row r="105">
      <c r="A105">
        <f>Derived!A105</f>
        <v/>
      </c>
      <c r="B105">
        <f>Derived!B105</f>
        <v/>
      </c>
      <c r="C105">
        <f>Derived!C105</f>
        <v/>
      </c>
      <c r="D105">
        <f>Derived!K105</f>
        <v/>
      </c>
      <c r="E105" s="16">
        <f>Derived!F105</f>
        <v/>
      </c>
      <c r="F105">
        <f>IF(OR($E105=""),"",MAX(0,MIN(1,(cfg_PBR_max-MIN($E105,cfg_PBR_max))/(cfg_PBR_max-cfg_PBR_floor))))</f>
        <v/>
      </c>
      <c r="G105" s="17">
        <f>Derived!H105</f>
        <v/>
      </c>
      <c r="H105">
        <f>IF(OR($G105=""),"",MAX(0,MIN(1,MIN($G105,cap_NetCashPct)/cap_NetCashPct)))</f>
        <v/>
      </c>
      <c r="I105" s="15">
        <f>Derived!J105</f>
        <v/>
      </c>
      <c r="J105">
        <f>IF(OR($I105=""),"",MAX(0,MIN(1,($I105-cfg_Liq_min)/(cfg_Liq_cap-cfg_Liq_min))))</f>
        <v/>
      </c>
      <c r="K105" s="17">
        <f>Fundamentals!P105</f>
        <v/>
      </c>
      <c r="L105" s="17">
        <f>Fundamentals!Q105</f>
        <v/>
      </c>
      <c r="M105">
        <f>IF(AND($K105="",$L105=""),"",MIN(1,IF($K105="",0,MIN($K105,cap_DivYield)/cap_DivYield)*0.5+IF($L105="",0,MIN($L105,cap_BuybackYield)/cap_BuybackYield)*0.5))</f>
        <v/>
      </c>
      <c r="N105">
        <f>IF($A105="","",AVERAGE(IF(Fundamentals!R105="",0,Fundamentals!R105),IF(Fundamentals!S105="",0,Fundamentals!S105),IF(Fundamentals!T105="",0,Fundamentals!T105)))</f>
        <v/>
      </c>
      <c r="O105">
        <f>IF($A105="","",MAX(0,MIN(1,$N105)))</f>
        <v/>
      </c>
      <c r="P105" s="18">
        <f>IF($A105="","",ROUND(w_PBR*$F105+w_NetCash*$H105+w_Liq*$J105+w_Return*$M105+w_GovAct*$O105,2))</f>
        <v/>
      </c>
      <c r="Q105" s="19">
        <f>IF($A105="","",$P105+(100000-ROW())/100000000)</f>
        <v/>
      </c>
      <c r="R105">
        <f>IF($A105="","",IF($D105&lt;&gt;1,"",RANK.EQ($Q105,$Q$3:$Q$202,0)))</f>
        <v/>
      </c>
      <c r="S105">
        <f>IF($A105="","",IF($D105=1,"",Derived!L105))</f>
        <v/>
      </c>
      <c r="T105" s="19">
        <f>IF($D105=1,$Q105,"")</f>
        <v/>
      </c>
    </row>
    <row r="106">
      <c r="A106">
        <f>Derived!A106</f>
        <v/>
      </c>
      <c r="B106">
        <f>Derived!B106</f>
        <v/>
      </c>
      <c r="C106">
        <f>Derived!C106</f>
        <v/>
      </c>
      <c r="D106">
        <f>Derived!K106</f>
        <v/>
      </c>
      <c r="E106" s="16">
        <f>Derived!F106</f>
        <v/>
      </c>
      <c r="F106">
        <f>IF(OR($E106=""),"",MAX(0,MIN(1,(cfg_PBR_max-MIN($E106,cfg_PBR_max))/(cfg_PBR_max-cfg_PBR_floor))))</f>
        <v/>
      </c>
      <c r="G106" s="17">
        <f>Derived!H106</f>
        <v/>
      </c>
      <c r="H106">
        <f>IF(OR($G106=""),"",MAX(0,MIN(1,MIN($G106,cap_NetCashPct)/cap_NetCashPct)))</f>
        <v/>
      </c>
      <c r="I106" s="15">
        <f>Derived!J106</f>
        <v/>
      </c>
      <c r="J106">
        <f>IF(OR($I106=""),"",MAX(0,MIN(1,($I106-cfg_Liq_min)/(cfg_Liq_cap-cfg_Liq_min))))</f>
        <v/>
      </c>
      <c r="K106" s="17">
        <f>Fundamentals!P106</f>
        <v/>
      </c>
      <c r="L106" s="17">
        <f>Fundamentals!Q106</f>
        <v/>
      </c>
      <c r="M106">
        <f>IF(AND($K106="",$L106=""),"",MIN(1,IF($K106="",0,MIN($K106,cap_DivYield)/cap_DivYield)*0.5+IF($L106="",0,MIN($L106,cap_BuybackYield)/cap_BuybackYield)*0.5))</f>
        <v/>
      </c>
      <c r="N106">
        <f>IF($A106="","",AVERAGE(IF(Fundamentals!R106="",0,Fundamentals!R106),IF(Fundamentals!S106="",0,Fundamentals!S106),IF(Fundamentals!T106="",0,Fundamentals!T106)))</f>
        <v/>
      </c>
      <c r="O106">
        <f>IF($A106="","",MAX(0,MIN(1,$N106)))</f>
        <v/>
      </c>
      <c r="P106" s="18">
        <f>IF($A106="","",ROUND(w_PBR*$F106+w_NetCash*$H106+w_Liq*$J106+w_Return*$M106+w_GovAct*$O106,2))</f>
        <v/>
      </c>
      <c r="Q106" s="19">
        <f>IF($A106="","",$P106+(100000-ROW())/100000000)</f>
        <v/>
      </c>
      <c r="R106">
        <f>IF($A106="","",IF($D106&lt;&gt;1,"",RANK.EQ($Q106,$Q$3:$Q$202,0)))</f>
        <v/>
      </c>
      <c r="S106">
        <f>IF($A106="","",IF($D106=1,"",Derived!L106))</f>
        <v/>
      </c>
      <c r="T106" s="19">
        <f>IF($D106=1,$Q106,"")</f>
        <v/>
      </c>
    </row>
    <row r="107">
      <c r="A107">
        <f>Derived!A107</f>
        <v/>
      </c>
      <c r="B107">
        <f>Derived!B107</f>
        <v/>
      </c>
      <c r="C107">
        <f>Derived!C107</f>
        <v/>
      </c>
      <c r="D107">
        <f>Derived!K107</f>
        <v/>
      </c>
      <c r="E107" s="16">
        <f>Derived!F107</f>
        <v/>
      </c>
      <c r="F107">
        <f>IF(OR($E107=""),"",MAX(0,MIN(1,(cfg_PBR_max-MIN($E107,cfg_PBR_max))/(cfg_PBR_max-cfg_PBR_floor))))</f>
        <v/>
      </c>
      <c r="G107" s="17">
        <f>Derived!H107</f>
        <v/>
      </c>
      <c r="H107">
        <f>IF(OR($G107=""),"",MAX(0,MIN(1,MIN($G107,cap_NetCashPct)/cap_NetCashPct)))</f>
        <v/>
      </c>
      <c r="I107" s="15">
        <f>Derived!J107</f>
        <v/>
      </c>
      <c r="J107">
        <f>IF(OR($I107=""),"",MAX(0,MIN(1,($I107-cfg_Liq_min)/(cfg_Liq_cap-cfg_Liq_min))))</f>
        <v/>
      </c>
      <c r="K107" s="17">
        <f>Fundamentals!P107</f>
        <v/>
      </c>
      <c r="L107" s="17">
        <f>Fundamentals!Q107</f>
        <v/>
      </c>
      <c r="M107">
        <f>IF(AND($K107="",$L107=""),"",MIN(1,IF($K107="",0,MIN($K107,cap_DivYield)/cap_DivYield)*0.5+IF($L107="",0,MIN($L107,cap_BuybackYield)/cap_BuybackYield)*0.5))</f>
        <v/>
      </c>
      <c r="N107">
        <f>IF($A107="","",AVERAGE(IF(Fundamentals!R107="",0,Fundamentals!R107),IF(Fundamentals!S107="",0,Fundamentals!S107),IF(Fundamentals!T107="",0,Fundamentals!T107)))</f>
        <v/>
      </c>
      <c r="O107">
        <f>IF($A107="","",MAX(0,MIN(1,$N107)))</f>
        <v/>
      </c>
      <c r="P107" s="18">
        <f>IF($A107="","",ROUND(w_PBR*$F107+w_NetCash*$H107+w_Liq*$J107+w_Return*$M107+w_GovAct*$O107,2))</f>
        <v/>
      </c>
      <c r="Q107" s="19">
        <f>IF($A107="","",$P107+(100000-ROW())/100000000)</f>
        <v/>
      </c>
      <c r="R107">
        <f>IF($A107="","",IF($D107&lt;&gt;1,"",RANK.EQ($Q107,$Q$3:$Q$202,0)))</f>
        <v/>
      </c>
      <c r="S107">
        <f>IF($A107="","",IF($D107=1,"",Derived!L107))</f>
        <v/>
      </c>
      <c r="T107" s="19">
        <f>IF($D107=1,$Q107,"")</f>
        <v/>
      </c>
    </row>
    <row r="108">
      <c r="A108">
        <f>Derived!A108</f>
        <v/>
      </c>
      <c r="B108">
        <f>Derived!B108</f>
        <v/>
      </c>
      <c r="C108">
        <f>Derived!C108</f>
        <v/>
      </c>
      <c r="D108">
        <f>Derived!K108</f>
        <v/>
      </c>
      <c r="E108" s="16">
        <f>Derived!F108</f>
        <v/>
      </c>
      <c r="F108">
        <f>IF(OR($E108=""),"",MAX(0,MIN(1,(cfg_PBR_max-MIN($E108,cfg_PBR_max))/(cfg_PBR_max-cfg_PBR_floor))))</f>
        <v/>
      </c>
      <c r="G108" s="17">
        <f>Derived!H108</f>
        <v/>
      </c>
      <c r="H108">
        <f>IF(OR($G108=""),"",MAX(0,MIN(1,MIN($G108,cap_NetCashPct)/cap_NetCashPct)))</f>
        <v/>
      </c>
      <c r="I108" s="15">
        <f>Derived!J108</f>
        <v/>
      </c>
      <c r="J108">
        <f>IF(OR($I108=""),"",MAX(0,MIN(1,($I108-cfg_Liq_min)/(cfg_Liq_cap-cfg_Liq_min))))</f>
        <v/>
      </c>
      <c r="K108" s="17">
        <f>Fundamentals!P108</f>
        <v/>
      </c>
      <c r="L108" s="17">
        <f>Fundamentals!Q108</f>
        <v/>
      </c>
      <c r="M108">
        <f>IF(AND($K108="",$L108=""),"",MIN(1,IF($K108="",0,MIN($K108,cap_DivYield)/cap_DivYield)*0.5+IF($L108="",0,MIN($L108,cap_BuybackYield)/cap_BuybackYield)*0.5))</f>
        <v/>
      </c>
      <c r="N108">
        <f>IF($A108="","",AVERAGE(IF(Fundamentals!R108="",0,Fundamentals!R108),IF(Fundamentals!S108="",0,Fundamentals!S108),IF(Fundamentals!T108="",0,Fundamentals!T108)))</f>
        <v/>
      </c>
      <c r="O108">
        <f>IF($A108="","",MAX(0,MIN(1,$N108)))</f>
        <v/>
      </c>
      <c r="P108" s="18">
        <f>IF($A108="","",ROUND(w_PBR*$F108+w_NetCash*$H108+w_Liq*$J108+w_Return*$M108+w_GovAct*$O108,2))</f>
        <v/>
      </c>
      <c r="Q108" s="19">
        <f>IF($A108="","",$P108+(100000-ROW())/100000000)</f>
        <v/>
      </c>
      <c r="R108">
        <f>IF($A108="","",IF($D108&lt;&gt;1,"",RANK.EQ($Q108,$Q$3:$Q$202,0)))</f>
        <v/>
      </c>
      <c r="S108">
        <f>IF($A108="","",IF($D108=1,"",Derived!L108))</f>
        <v/>
      </c>
      <c r="T108" s="19">
        <f>IF($D108=1,$Q108,"")</f>
        <v/>
      </c>
    </row>
    <row r="109">
      <c r="A109">
        <f>Derived!A109</f>
        <v/>
      </c>
      <c r="B109">
        <f>Derived!B109</f>
        <v/>
      </c>
      <c r="C109">
        <f>Derived!C109</f>
        <v/>
      </c>
      <c r="D109">
        <f>Derived!K109</f>
        <v/>
      </c>
      <c r="E109" s="16">
        <f>Derived!F109</f>
        <v/>
      </c>
      <c r="F109">
        <f>IF(OR($E109=""),"",MAX(0,MIN(1,(cfg_PBR_max-MIN($E109,cfg_PBR_max))/(cfg_PBR_max-cfg_PBR_floor))))</f>
        <v/>
      </c>
      <c r="G109" s="17">
        <f>Derived!H109</f>
        <v/>
      </c>
      <c r="H109">
        <f>IF(OR($G109=""),"",MAX(0,MIN(1,MIN($G109,cap_NetCashPct)/cap_NetCashPct)))</f>
        <v/>
      </c>
      <c r="I109" s="15">
        <f>Derived!J109</f>
        <v/>
      </c>
      <c r="J109">
        <f>IF(OR($I109=""),"",MAX(0,MIN(1,($I109-cfg_Liq_min)/(cfg_Liq_cap-cfg_Liq_min))))</f>
        <v/>
      </c>
      <c r="K109" s="17">
        <f>Fundamentals!P109</f>
        <v/>
      </c>
      <c r="L109" s="17">
        <f>Fundamentals!Q109</f>
        <v/>
      </c>
      <c r="M109">
        <f>IF(AND($K109="",$L109=""),"",MIN(1,IF($K109="",0,MIN($K109,cap_DivYield)/cap_DivYield)*0.5+IF($L109="",0,MIN($L109,cap_BuybackYield)/cap_BuybackYield)*0.5))</f>
        <v/>
      </c>
      <c r="N109">
        <f>IF($A109="","",AVERAGE(IF(Fundamentals!R109="",0,Fundamentals!R109),IF(Fundamentals!S109="",0,Fundamentals!S109),IF(Fundamentals!T109="",0,Fundamentals!T109)))</f>
        <v/>
      </c>
      <c r="O109">
        <f>IF($A109="","",MAX(0,MIN(1,$N109)))</f>
        <v/>
      </c>
      <c r="P109" s="18">
        <f>IF($A109="","",ROUND(w_PBR*$F109+w_NetCash*$H109+w_Liq*$J109+w_Return*$M109+w_GovAct*$O109,2))</f>
        <v/>
      </c>
      <c r="Q109" s="19">
        <f>IF($A109="","",$P109+(100000-ROW())/100000000)</f>
        <v/>
      </c>
      <c r="R109">
        <f>IF($A109="","",IF($D109&lt;&gt;1,"",RANK.EQ($Q109,$Q$3:$Q$202,0)))</f>
        <v/>
      </c>
      <c r="S109">
        <f>IF($A109="","",IF($D109=1,"",Derived!L109))</f>
        <v/>
      </c>
      <c r="T109" s="19">
        <f>IF($D109=1,$Q109,"")</f>
        <v/>
      </c>
    </row>
    <row r="110">
      <c r="A110">
        <f>Derived!A110</f>
        <v/>
      </c>
      <c r="B110">
        <f>Derived!B110</f>
        <v/>
      </c>
      <c r="C110">
        <f>Derived!C110</f>
        <v/>
      </c>
      <c r="D110">
        <f>Derived!K110</f>
        <v/>
      </c>
      <c r="E110" s="16">
        <f>Derived!F110</f>
        <v/>
      </c>
      <c r="F110">
        <f>IF(OR($E110=""),"",MAX(0,MIN(1,(cfg_PBR_max-MIN($E110,cfg_PBR_max))/(cfg_PBR_max-cfg_PBR_floor))))</f>
        <v/>
      </c>
      <c r="G110" s="17">
        <f>Derived!H110</f>
        <v/>
      </c>
      <c r="H110">
        <f>IF(OR($G110=""),"",MAX(0,MIN(1,MIN($G110,cap_NetCashPct)/cap_NetCashPct)))</f>
        <v/>
      </c>
      <c r="I110" s="15">
        <f>Derived!J110</f>
        <v/>
      </c>
      <c r="J110">
        <f>IF(OR($I110=""),"",MAX(0,MIN(1,($I110-cfg_Liq_min)/(cfg_Liq_cap-cfg_Liq_min))))</f>
        <v/>
      </c>
      <c r="K110" s="17">
        <f>Fundamentals!P110</f>
        <v/>
      </c>
      <c r="L110" s="17">
        <f>Fundamentals!Q110</f>
        <v/>
      </c>
      <c r="M110">
        <f>IF(AND($K110="",$L110=""),"",MIN(1,IF($K110="",0,MIN($K110,cap_DivYield)/cap_DivYield)*0.5+IF($L110="",0,MIN($L110,cap_BuybackYield)/cap_BuybackYield)*0.5))</f>
        <v/>
      </c>
      <c r="N110">
        <f>IF($A110="","",AVERAGE(IF(Fundamentals!R110="",0,Fundamentals!R110),IF(Fundamentals!S110="",0,Fundamentals!S110),IF(Fundamentals!T110="",0,Fundamentals!T110)))</f>
        <v/>
      </c>
      <c r="O110">
        <f>IF($A110="","",MAX(0,MIN(1,$N110)))</f>
        <v/>
      </c>
      <c r="P110" s="18">
        <f>IF($A110="","",ROUND(w_PBR*$F110+w_NetCash*$H110+w_Liq*$J110+w_Return*$M110+w_GovAct*$O110,2))</f>
        <v/>
      </c>
      <c r="Q110" s="19">
        <f>IF($A110="","",$P110+(100000-ROW())/100000000)</f>
        <v/>
      </c>
      <c r="R110">
        <f>IF($A110="","",IF($D110&lt;&gt;1,"",RANK.EQ($Q110,$Q$3:$Q$202,0)))</f>
        <v/>
      </c>
      <c r="S110">
        <f>IF($A110="","",IF($D110=1,"",Derived!L110))</f>
        <v/>
      </c>
      <c r="T110" s="19">
        <f>IF($D110=1,$Q110,"")</f>
        <v/>
      </c>
    </row>
    <row r="111">
      <c r="A111">
        <f>Derived!A111</f>
        <v/>
      </c>
      <c r="B111">
        <f>Derived!B111</f>
        <v/>
      </c>
      <c r="C111">
        <f>Derived!C111</f>
        <v/>
      </c>
      <c r="D111">
        <f>Derived!K111</f>
        <v/>
      </c>
      <c r="E111" s="16">
        <f>Derived!F111</f>
        <v/>
      </c>
      <c r="F111">
        <f>IF(OR($E111=""),"",MAX(0,MIN(1,(cfg_PBR_max-MIN($E111,cfg_PBR_max))/(cfg_PBR_max-cfg_PBR_floor))))</f>
        <v/>
      </c>
      <c r="G111" s="17">
        <f>Derived!H111</f>
        <v/>
      </c>
      <c r="H111">
        <f>IF(OR($G111=""),"",MAX(0,MIN(1,MIN($G111,cap_NetCashPct)/cap_NetCashPct)))</f>
        <v/>
      </c>
      <c r="I111" s="15">
        <f>Derived!J111</f>
        <v/>
      </c>
      <c r="J111">
        <f>IF(OR($I111=""),"",MAX(0,MIN(1,($I111-cfg_Liq_min)/(cfg_Liq_cap-cfg_Liq_min))))</f>
        <v/>
      </c>
      <c r="K111" s="17">
        <f>Fundamentals!P111</f>
        <v/>
      </c>
      <c r="L111" s="17">
        <f>Fundamentals!Q111</f>
        <v/>
      </c>
      <c r="M111">
        <f>IF(AND($K111="",$L111=""),"",MIN(1,IF($K111="",0,MIN($K111,cap_DivYield)/cap_DivYield)*0.5+IF($L111="",0,MIN($L111,cap_BuybackYield)/cap_BuybackYield)*0.5))</f>
        <v/>
      </c>
      <c r="N111">
        <f>IF($A111="","",AVERAGE(IF(Fundamentals!R111="",0,Fundamentals!R111),IF(Fundamentals!S111="",0,Fundamentals!S111),IF(Fundamentals!T111="",0,Fundamentals!T111)))</f>
        <v/>
      </c>
      <c r="O111">
        <f>IF($A111="","",MAX(0,MIN(1,$N111)))</f>
        <v/>
      </c>
      <c r="P111" s="18">
        <f>IF($A111="","",ROUND(w_PBR*$F111+w_NetCash*$H111+w_Liq*$J111+w_Return*$M111+w_GovAct*$O111,2))</f>
        <v/>
      </c>
      <c r="Q111" s="19">
        <f>IF($A111="","",$P111+(100000-ROW())/100000000)</f>
        <v/>
      </c>
      <c r="R111">
        <f>IF($A111="","",IF($D111&lt;&gt;1,"",RANK.EQ($Q111,$Q$3:$Q$202,0)))</f>
        <v/>
      </c>
      <c r="S111">
        <f>IF($A111="","",IF($D111=1,"",Derived!L111))</f>
        <v/>
      </c>
      <c r="T111" s="19">
        <f>IF($D111=1,$Q111,"")</f>
        <v/>
      </c>
    </row>
    <row r="112">
      <c r="A112">
        <f>Derived!A112</f>
        <v/>
      </c>
      <c r="B112">
        <f>Derived!B112</f>
        <v/>
      </c>
      <c r="C112">
        <f>Derived!C112</f>
        <v/>
      </c>
      <c r="D112">
        <f>Derived!K112</f>
        <v/>
      </c>
      <c r="E112" s="16">
        <f>Derived!F112</f>
        <v/>
      </c>
      <c r="F112">
        <f>IF(OR($E112=""),"",MAX(0,MIN(1,(cfg_PBR_max-MIN($E112,cfg_PBR_max))/(cfg_PBR_max-cfg_PBR_floor))))</f>
        <v/>
      </c>
      <c r="G112" s="17">
        <f>Derived!H112</f>
        <v/>
      </c>
      <c r="H112">
        <f>IF(OR($G112=""),"",MAX(0,MIN(1,MIN($G112,cap_NetCashPct)/cap_NetCashPct)))</f>
        <v/>
      </c>
      <c r="I112" s="15">
        <f>Derived!J112</f>
        <v/>
      </c>
      <c r="J112">
        <f>IF(OR($I112=""),"",MAX(0,MIN(1,($I112-cfg_Liq_min)/(cfg_Liq_cap-cfg_Liq_min))))</f>
        <v/>
      </c>
      <c r="K112" s="17">
        <f>Fundamentals!P112</f>
        <v/>
      </c>
      <c r="L112" s="17">
        <f>Fundamentals!Q112</f>
        <v/>
      </c>
      <c r="M112">
        <f>IF(AND($K112="",$L112=""),"",MIN(1,IF($K112="",0,MIN($K112,cap_DivYield)/cap_DivYield)*0.5+IF($L112="",0,MIN($L112,cap_BuybackYield)/cap_BuybackYield)*0.5))</f>
        <v/>
      </c>
      <c r="N112">
        <f>IF($A112="","",AVERAGE(IF(Fundamentals!R112="",0,Fundamentals!R112),IF(Fundamentals!S112="",0,Fundamentals!S112),IF(Fundamentals!T112="",0,Fundamentals!T112)))</f>
        <v/>
      </c>
      <c r="O112">
        <f>IF($A112="","",MAX(0,MIN(1,$N112)))</f>
        <v/>
      </c>
      <c r="P112" s="18">
        <f>IF($A112="","",ROUND(w_PBR*$F112+w_NetCash*$H112+w_Liq*$J112+w_Return*$M112+w_GovAct*$O112,2))</f>
        <v/>
      </c>
      <c r="Q112" s="19">
        <f>IF($A112="","",$P112+(100000-ROW())/100000000)</f>
        <v/>
      </c>
      <c r="R112">
        <f>IF($A112="","",IF($D112&lt;&gt;1,"",RANK.EQ($Q112,$Q$3:$Q$202,0)))</f>
        <v/>
      </c>
      <c r="S112">
        <f>IF($A112="","",IF($D112=1,"",Derived!L112))</f>
        <v/>
      </c>
      <c r="T112" s="19">
        <f>IF($D112=1,$Q112,"")</f>
        <v/>
      </c>
    </row>
    <row r="113">
      <c r="A113">
        <f>Derived!A113</f>
        <v/>
      </c>
      <c r="B113">
        <f>Derived!B113</f>
        <v/>
      </c>
      <c r="C113">
        <f>Derived!C113</f>
        <v/>
      </c>
      <c r="D113">
        <f>Derived!K113</f>
        <v/>
      </c>
      <c r="E113" s="16">
        <f>Derived!F113</f>
        <v/>
      </c>
      <c r="F113">
        <f>IF(OR($E113=""),"",MAX(0,MIN(1,(cfg_PBR_max-MIN($E113,cfg_PBR_max))/(cfg_PBR_max-cfg_PBR_floor))))</f>
        <v/>
      </c>
      <c r="G113" s="17">
        <f>Derived!H113</f>
        <v/>
      </c>
      <c r="H113">
        <f>IF(OR($G113=""),"",MAX(0,MIN(1,MIN($G113,cap_NetCashPct)/cap_NetCashPct)))</f>
        <v/>
      </c>
      <c r="I113" s="15">
        <f>Derived!J113</f>
        <v/>
      </c>
      <c r="J113">
        <f>IF(OR($I113=""),"",MAX(0,MIN(1,($I113-cfg_Liq_min)/(cfg_Liq_cap-cfg_Liq_min))))</f>
        <v/>
      </c>
      <c r="K113" s="17">
        <f>Fundamentals!P113</f>
        <v/>
      </c>
      <c r="L113" s="17">
        <f>Fundamentals!Q113</f>
        <v/>
      </c>
      <c r="M113">
        <f>IF(AND($K113="",$L113=""),"",MIN(1,IF($K113="",0,MIN($K113,cap_DivYield)/cap_DivYield)*0.5+IF($L113="",0,MIN($L113,cap_BuybackYield)/cap_BuybackYield)*0.5))</f>
        <v/>
      </c>
      <c r="N113">
        <f>IF($A113="","",AVERAGE(IF(Fundamentals!R113="",0,Fundamentals!R113),IF(Fundamentals!S113="",0,Fundamentals!S113),IF(Fundamentals!T113="",0,Fundamentals!T113)))</f>
        <v/>
      </c>
      <c r="O113">
        <f>IF($A113="","",MAX(0,MIN(1,$N113)))</f>
        <v/>
      </c>
      <c r="P113" s="18">
        <f>IF($A113="","",ROUND(w_PBR*$F113+w_NetCash*$H113+w_Liq*$J113+w_Return*$M113+w_GovAct*$O113,2))</f>
        <v/>
      </c>
      <c r="Q113" s="19">
        <f>IF($A113="","",$P113+(100000-ROW())/100000000)</f>
        <v/>
      </c>
      <c r="R113">
        <f>IF($A113="","",IF($D113&lt;&gt;1,"",RANK.EQ($Q113,$Q$3:$Q$202,0)))</f>
        <v/>
      </c>
      <c r="S113">
        <f>IF($A113="","",IF($D113=1,"",Derived!L113))</f>
        <v/>
      </c>
      <c r="T113" s="19">
        <f>IF($D113=1,$Q113,"")</f>
        <v/>
      </c>
    </row>
    <row r="114">
      <c r="A114">
        <f>Derived!A114</f>
        <v/>
      </c>
      <c r="B114">
        <f>Derived!B114</f>
        <v/>
      </c>
      <c r="C114">
        <f>Derived!C114</f>
        <v/>
      </c>
      <c r="D114">
        <f>Derived!K114</f>
        <v/>
      </c>
      <c r="E114" s="16">
        <f>Derived!F114</f>
        <v/>
      </c>
      <c r="F114">
        <f>IF(OR($E114=""),"",MAX(0,MIN(1,(cfg_PBR_max-MIN($E114,cfg_PBR_max))/(cfg_PBR_max-cfg_PBR_floor))))</f>
        <v/>
      </c>
      <c r="G114" s="17">
        <f>Derived!H114</f>
        <v/>
      </c>
      <c r="H114">
        <f>IF(OR($G114=""),"",MAX(0,MIN(1,MIN($G114,cap_NetCashPct)/cap_NetCashPct)))</f>
        <v/>
      </c>
      <c r="I114" s="15">
        <f>Derived!J114</f>
        <v/>
      </c>
      <c r="J114">
        <f>IF(OR($I114=""),"",MAX(0,MIN(1,($I114-cfg_Liq_min)/(cfg_Liq_cap-cfg_Liq_min))))</f>
        <v/>
      </c>
      <c r="K114" s="17">
        <f>Fundamentals!P114</f>
        <v/>
      </c>
      <c r="L114" s="17">
        <f>Fundamentals!Q114</f>
        <v/>
      </c>
      <c r="M114">
        <f>IF(AND($K114="",$L114=""),"",MIN(1,IF($K114="",0,MIN($K114,cap_DivYield)/cap_DivYield)*0.5+IF($L114="",0,MIN($L114,cap_BuybackYield)/cap_BuybackYield)*0.5))</f>
        <v/>
      </c>
      <c r="N114">
        <f>IF($A114="","",AVERAGE(IF(Fundamentals!R114="",0,Fundamentals!R114),IF(Fundamentals!S114="",0,Fundamentals!S114),IF(Fundamentals!T114="",0,Fundamentals!T114)))</f>
        <v/>
      </c>
      <c r="O114">
        <f>IF($A114="","",MAX(0,MIN(1,$N114)))</f>
        <v/>
      </c>
      <c r="P114" s="18">
        <f>IF($A114="","",ROUND(w_PBR*$F114+w_NetCash*$H114+w_Liq*$J114+w_Return*$M114+w_GovAct*$O114,2))</f>
        <v/>
      </c>
      <c r="Q114" s="19">
        <f>IF($A114="","",$P114+(100000-ROW())/100000000)</f>
        <v/>
      </c>
      <c r="R114">
        <f>IF($A114="","",IF($D114&lt;&gt;1,"",RANK.EQ($Q114,$Q$3:$Q$202,0)))</f>
        <v/>
      </c>
      <c r="S114">
        <f>IF($A114="","",IF($D114=1,"",Derived!L114))</f>
        <v/>
      </c>
      <c r="T114" s="19">
        <f>IF($D114=1,$Q114,"")</f>
        <v/>
      </c>
    </row>
    <row r="115">
      <c r="A115">
        <f>Derived!A115</f>
        <v/>
      </c>
      <c r="B115">
        <f>Derived!B115</f>
        <v/>
      </c>
      <c r="C115">
        <f>Derived!C115</f>
        <v/>
      </c>
      <c r="D115">
        <f>Derived!K115</f>
        <v/>
      </c>
      <c r="E115" s="16">
        <f>Derived!F115</f>
        <v/>
      </c>
      <c r="F115">
        <f>IF(OR($E115=""),"",MAX(0,MIN(1,(cfg_PBR_max-MIN($E115,cfg_PBR_max))/(cfg_PBR_max-cfg_PBR_floor))))</f>
        <v/>
      </c>
      <c r="G115" s="17">
        <f>Derived!H115</f>
        <v/>
      </c>
      <c r="H115">
        <f>IF(OR($G115=""),"",MAX(0,MIN(1,MIN($G115,cap_NetCashPct)/cap_NetCashPct)))</f>
        <v/>
      </c>
      <c r="I115" s="15">
        <f>Derived!J115</f>
        <v/>
      </c>
      <c r="J115">
        <f>IF(OR($I115=""),"",MAX(0,MIN(1,($I115-cfg_Liq_min)/(cfg_Liq_cap-cfg_Liq_min))))</f>
        <v/>
      </c>
      <c r="K115" s="17">
        <f>Fundamentals!P115</f>
        <v/>
      </c>
      <c r="L115" s="17">
        <f>Fundamentals!Q115</f>
        <v/>
      </c>
      <c r="M115">
        <f>IF(AND($K115="",$L115=""),"",MIN(1,IF($K115="",0,MIN($K115,cap_DivYield)/cap_DivYield)*0.5+IF($L115="",0,MIN($L115,cap_BuybackYield)/cap_BuybackYield)*0.5))</f>
        <v/>
      </c>
      <c r="N115">
        <f>IF($A115="","",AVERAGE(IF(Fundamentals!R115="",0,Fundamentals!R115),IF(Fundamentals!S115="",0,Fundamentals!S115),IF(Fundamentals!T115="",0,Fundamentals!T115)))</f>
        <v/>
      </c>
      <c r="O115">
        <f>IF($A115="","",MAX(0,MIN(1,$N115)))</f>
        <v/>
      </c>
      <c r="P115" s="18">
        <f>IF($A115="","",ROUND(w_PBR*$F115+w_NetCash*$H115+w_Liq*$J115+w_Return*$M115+w_GovAct*$O115,2))</f>
        <v/>
      </c>
      <c r="Q115" s="19">
        <f>IF($A115="","",$P115+(100000-ROW())/100000000)</f>
        <v/>
      </c>
      <c r="R115">
        <f>IF($A115="","",IF($D115&lt;&gt;1,"",RANK.EQ($Q115,$Q$3:$Q$202,0)))</f>
        <v/>
      </c>
      <c r="S115">
        <f>IF($A115="","",IF($D115=1,"",Derived!L115))</f>
        <v/>
      </c>
      <c r="T115" s="19">
        <f>IF($D115=1,$Q115,"")</f>
        <v/>
      </c>
    </row>
    <row r="116">
      <c r="A116">
        <f>Derived!A116</f>
        <v/>
      </c>
      <c r="B116">
        <f>Derived!B116</f>
        <v/>
      </c>
      <c r="C116">
        <f>Derived!C116</f>
        <v/>
      </c>
      <c r="D116">
        <f>Derived!K116</f>
        <v/>
      </c>
      <c r="E116" s="16">
        <f>Derived!F116</f>
        <v/>
      </c>
      <c r="F116">
        <f>IF(OR($E116=""),"",MAX(0,MIN(1,(cfg_PBR_max-MIN($E116,cfg_PBR_max))/(cfg_PBR_max-cfg_PBR_floor))))</f>
        <v/>
      </c>
      <c r="G116" s="17">
        <f>Derived!H116</f>
        <v/>
      </c>
      <c r="H116">
        <f>IF(OR($G116=""),"",MAX(0,MIN(1,MIN($G116,cap_NetCashPct)/cap_NetCashPct)))</f>
        <v/>
      </c>
      <c r="I116" s="15">
        <f>Derived!J116</f>
        <v/>
      </c>
      <c r="J116">
        <f>IF(OR($I116=""),"",MAX(0,MIN(1,($I116-cfg_Liq_min)/(cfg_Liq_cap-cfg_Liq_min))))</f>
        <v/>
      </c>
      <c r="K116" s="17">
        <f>Fundamentals!P116</f>
        <v/>
      </c>
      <c r="L116" s="17">
        <f>Fundamentals!Q116</f>
        <v/>
      </c>
      <c r="M116">
        <f>IF(AND($K116="",$L116=""),"",MIN(1,IF($K116="",0,MIN($K116,cap_DivYield)/cap_DivYield)*0.5+IF($L116="",0,MIN($L116,cap_BuybackYield)/cap_BuybackYield)*0.5))</f>
        <v/>
      </c>
      <c r="N116">
        <f>IF($A116="","",AVERAGE(IF(Fundamentals!R116="",0,Fundamentals!R116),IF(Fundamentals!S116="",0,Fundamentals!S116),IF(Fundamentals!T116="",0,Fundamentals!T116)))</f>
        <v/>
      </c>
      <c r="O116">
        <f>IF($A116="","",MAX(0,MIN(1,$N116)))</f>
        <v/>
      </c>
      <c r="P116" s="18">
        <f>IF($A116="","",ROUND(w_PBR*$F116+w_NetCash*$H116+w_Liq*$J116+w_Return*$M116+w_GovAct*$O116,2))</f>
        <v/>
      </c>
      <c r="Q116" s="19">
        <f>IF($A116="","",$P116+(100000-ROW())/100000000)</f>
        <v/>
      </c>
      <c r="R116">
        <f>IF($A116="","",IF($D116&lt;&gt;1,"",RANK.EQ($Q116,$Q$3:$Q$202,0)))</f>
        <v/>
      </c>
      <c r="S116">
        <f>IF($A116="","",IF($D116=1,"",Derived!L116))</f>
        <v/>
      </c>
      <c r="T116" s="19">
        <f>IF($D116=1,$Q116,"")</f>
        <v/>
      </c>
    </row>
    <row r="117">
      <c r="A117">
        <f>Derived!A117</f>
        <v/>
      </c>
      <c r="B117">
        <f>Derived!B117</f>
        <v/>
      </c>
      <c r="C117">
        <f>Derived!C117</f>
        <v/>
      </c>
      <c r="D117">
        <f>Derived!K117</f>
        <v/>
      </c>
      <c r="E117" s="16">
        <f>Derived!F117</f>
        <v/>
      </c>
      <c r="F117">
        <f>IF(OR($E117=""),"",MAX(0,MIN(1,(cfg_PBR_max-MIN($E117,cfg_PBR_max))/(cfg_PBR_max-cfg_PBR_floor))))</f>
        <v/>
      </c>
      <c r="G117" s="17">
        <f>Derived!H117</f>
        <v/>
      </c>
      <c r="H117">
        <f>IF(OR($G117=""),"",MAX(0,MIN(1,MIN($G117,cap_NetCashPct)/cap_NetCashPct)))</f>
        <v/>
      </c>
      <c r="I117" s="15">
        <f>Derived!J117</f>
        <v/>
      </c>
      <c r="J117">
        <f>IF(OR($I117=""),"",MAX(0,MIN(1,($I117-cfg_Liq_min)/(cfg_Liq_cap-cfg_Liq_min))))</f>
        <v/>
      </c>
      <c r="K117" s="17">
        <f>Fundamentals!P117</f>
        <v/>
      </c>
      <c r="L117" s="17">
        <f>Fundamentals!Q117</f>
        <v/>
      </c>
      <c r="M117">
        <f>IF(AND($K117="",$L117=""),"",MIN(1,IF($K117="",0,MIN($K117,cap_DivYield)/cap_DivYield)*0.5+IF($L117="",0,MIN($L117,cap_BuybackYield)/cap_BuybackYield)*0.5))</f>
        <v/>
      </c>
      <c r="N117">
        <f>IF($A117="","",AVERAGE(IF(Fundamentals!R117="",0,Fundamentals!R117),IF(Fundamentals!S117="",0,Fundamentals!S117),IF(Fundamentals!T117="",0,Fundamentals!T117)))</f>
        <v/>
      </c>
      <c r="O117">
        <f>IF($A117="","",MAX(0,MIN(1,$N117)))</f>
        <v/>
      </c>
      <c r="P117" s="18">
        <f>IF($A117="","",ROUND(w_PBR*$F117+w_NetCash*$H117+w_Liq*$J117+w_Return*$M117+w_GovAct*$O117,2))</f>
        <v/>
      </c>
      <c r="Q117" s="19">
        <f>IF($A117="","",$P117+(100000-ROW())/100000000)</f>
        <v/>
      </c>
      <c r="R117">
        <f>IF($A117="","",IF($D117&lt;&gt;1,"",RANK.EQ($Q117,$Q$3:$Q$202,0)))</f>
        <v/>
      </c>
      <c r="S117">
        <f>IF($A117="","",IF($D117=1,"",Derived!L117))</f>
        <v/>
      </c>
      <c r="T117" s="19">
        <f>IF($D117=1,$Q117,"")</f>
        <v/>
      </c>
    </row>
    <row r="118">
      <c r="A118">
        <f>Derived!A118</f>
        <v/>
      </c>
      <c r="B118">
        <f>Derived!B118</f>
        <v/>
      </c>
      <c r="C118">
        <f>Derived!C118</f>
        <v/>
      </c>
      <c r="D118">
        <f>Derived!K118</f>
        <v/>
      </c>
      <c r="E118" s="16">
        <f>Derived!F118</f>
        <v/>
      </c>
      <c r="F118">
        <f>IF(OR($E118=""),"",MAX(0,MIN(1,(cfg_PBR_max-MIN($E118,cfg_PBR_max))/(cfg_PBR_max-cfg_PBR_floor))))</f>
        <v/>
      </c>
      <c r="G118" s="17">
        <f>Derived!H118</f>
        <v/>
      </c>
      <c r="H118">
        <f>IF(OR($G118=""),"",MAX(0,MIN(1,MIN($G118,cap_NetCashPct)/cap_NetCashPct)))</f>
        <v/>
      </c>
      <c r="I118" s="15">
        <f>Derived!J118</f>
        <v/>
      </c>
      <c r="J118">
        <f>IF(OR($I118=""),"",MAX(0,MIN(1,($I118-cfg_Liq_min)/(cfg_Liq_cap-cfg_Liq_min))))</f>
        <v/>
      </c>
      <c r="K118" s="17">
        <f>Fundamentals!P118</f>
        <v/>
      </c>
      <c r="L118" s="17">
        <f>Fundamentals!Q118</f>
        <v/>
      </c>
      <c r="M118">
        <f>IF(AND($K118="",$L118=""),"",MIN(1,IF($K118="",0,MIN($K118,cap_DivYield)/cap_DivYield)*0.5+IF($L118="",0,MIN($L118,cap_BuybackYield)/cap_BuybackYield)*0.5))</f>
        <v/>
      </c>
      <c r="N118">
        <f>IF($A118="","",AVERAGE(IF(Fundamentals!R118="",0,Fundamentals!R118),IF(Fundamentals!S118="",0,Fundamentals!S118),IF(Fundamentals!T118="",0,Fundamentals!T118)))</f>
        <v/>
      </c>
      <c r="O118">
        <f>IF($A118="","",MAX(0,MIN(1,$N118)))</f>
        <v/>
      </c>
      <c r="P118" s="18">
        <f>IF($A118="","",ROUND(w_PBR*$F118+w_NetCash*$H118+w_Liq*$J118+w_Return*$M118+w_GovAct*$O118,2))</f>
        <v/>
      </c>
      <c r="Q118" s="19">
        <f>IF($A118="","",$P118+(100000-ROW())/100000000)</f>
        <v/>
      </c>
      <c r="R118">
        <f>IF($A118="","",IF($D118&lt;&gt;1,"",RANK.EQ($Q118,$Q$3:$Q$202,0)))</f>
        <v/>
      </c>
      <c r="S118">
        <f>IF($A118="","",IF($D118=1,"",Derived!L118))</f>
        <v/>
      </c>
      <c r="T118" s="19">
        <f>IF($D118=1,$Q118,"")</f>
        <v/>
      </c>
    </row>
    <row r="119">
      <c r="A119">
        <f>Derived!A119</f>
        <v/>
      </c>
      <c r="B119">
        <f>Derived!B119</f>
        <v/>
      </c>
      <c r="C119">
        <f>Derived!C119</f>
        <v/>
      </c>
      <c r="D119">
        <f>Derived!K119</f>
        <v/>
      </c>
      <c r="E119" s="16">
        <f>Derived!F119</f>
        <v/>
      </c>
      <c r="F119">
        <f>IF(OR($E119=""),"",MAX(0,MIN(1,(cfg_PBR_max-MIN($E119,cfg_PBR_max))/(cfg_PBR_max-cfg_PBR_floor))))</f>
        <v/>
      </c>
      <c r="G119" s="17">
        <f>Derived!H119</f>
        <v/>
      </c>
      <c r="H119">
        <f>IF(OR($G119=""),"",MAX(0,MIN(1,MIN($G119,cap_NetCashPct)/cap_NetCashPct)))</f>
        <v/>
      </c>
      <c r="I119" s="15">
        <f>Derived!J119</f>
        <v/>
      </c>
      <c r="J119">
        <f>IF(OR($I119=""),"",MAX(0,MIN(1,($I119-cfg_Liq_min)/(cfg_Liq_cap-cfg_Liq_min))))</f>
        <v/>
      </c>
      <c r="K119" s="17">
        <f>Fundamentals!P119</f>
        <v/>
      </c>
      <c r="L119" s="17">
        <f>Fundamentals!Q119</f>
        <v/>
      </c>
      <c r="M119">
        <f>IF(AND($K119="",$L119=""),"",MIN(1,IF($K119="",0,MIN($K119,cap_DivYield)/cap_DivYield)*0.5+IF($L119="",0,MIN($L119,cap_BuybackYield)/cap_BuybackYield)*0.5))</f>
        <v/>
      </c>
      <c r="N119">
        <f>IF($A119="","",AVERAGE(IF(Fundamentals!R119="",0,Fundamentals!R119),IF(Fundamentals!S119="",0,Fundamentals!S119),IF(Fundamentals!T119="",0,Fundamentals!T119)))</f>
        <v/>
      </c>
      <c r="O119">
        <f>IF($A119="","",MAX(0,MIN(1,$N119)))</f>
        <v/>
      </c>
      <c r="P119" s="18">
        <f>IF($A119="","",ROUND(w_PBR*$F119+w_NetCash*$H119+w_Liq*$J119+w_Return*$M119+w_GovAct*$O119,2))</f>
        <v/>
      </c>
      <c r="Q119" s="19">
        <f>IF($A119="","",$P119+(100000-ROW())/100000000)</f>
        <v/>
      </c>
      <c r="R119">
        <f>IF($A119="","",IF($D119&lt;&gt;1,"",RANK.EQ($Q119,$Q$3:$Q$202,0)))</f>
        <v/>
      </c>
      <c r="S119">
        <f>IF($A119="","",IF($D119=1,"",Derived!L119))</f>
        <v/>
      </c>
      <c r="T119" s="19">
        <f>IF($D119=1,$Q119,"")</f>
        <v/>
      </c>
    </row>
    <row r="120">
      <c r="A120">
        <f>Derived!A120</f>
        <v/>
      </c>
      <c r="B120">
        <f>Derived!B120</f>
        <v/>
      </c>
      <c r="C120">
        <f>Derived!C120</f>
        <v/>
      </c>
      <c r="D120">
        <f>Derived!K120</f>
        <v/>
      </c>
      <c r="E120" s="16">
        <f>Derived!F120</f>
        <v/>
      </c>
      <c r="F120">
        <f>IF(OR($E120=""),"",MAX(0,MIN(1,(cfg_PBR_max-MIN($E120,cfg_PBR_max))/(cfg_PBR_max-cfg_PBR_floor))))</f>
        <v/>
      </c>
      <c r="G120" s="17">
        <f>Derived!H120</f>
        <v/>
      </c>
      <c r="H120">
        <f>IF(OR($G120=""),"",MAX(0,MIN(1,MIN($G120,cap_NetCashPct)/cap_NetCashPct)))</f>
        <v/>
      </c>
      <c r="I120" s="15">
        <f>Derived!J120</f>
        <v/>
      </c>
      <c r="J120">
        <f>IF(OR($I120=""),"",MAX(0,MIN(1,($I120-cfg_Liq_min)/(cfg_Liq_cap-cfg_Liq_min))))</f>
        <v/>
      </c>
      <c r="K120" s="17">
        <f>Fundamentals!P120</f>
        <v/>
      </c>
      <c r="L120" s="17">
        <f>Fundamentals!Q120</f>
        <v/>
      </c>
      <c r="M120">
        <f>IF(AND($K120="",$L120=""),"",MIN(1,IF($K120="",0,MIN($K120,cap_DivYield)/cap_DivYield)*0.5+IF($L120="",0,MIN($L120,cap_BuybackYield)/cap_BuybackYield)*0.5))</f>
        <v/>
      </c>
      <c r="N120">
        <f>IF($A120="","",AVERAGE(IF(Fundamentals!R120="",0,Fundamentals!R120),IF(Fundamentals!S120="",0,Fundamentals!S120),IF(Fundamentals!T120="",0,Fundamentals!T120)))</f>
        <v/>
      </c>
      <c r="O120">
        <f>IF($A120="","",MAX(0,MIN(1,$N120)))</f>
        <v/>
      </c>
      <c r="P120" s="18">
        <f>IF($A120="","",ROUND(w_PBR*$F120+w_NetCash*$H120+w_Liq*$J120+w_Return*$M120+w_GovAct*$O120,2))</f>
        <v/>
      </c>
      <c r="Q120" s="19">
        <f>IF($A120="","",$P120+(100000-ROW())/100000000)</f>
        <v/>
      </c>
      <c r="R120">
        <f>IF($A120="","",IF($D120&lt;&gt;1,"",RANK.EQ($Q120,$Q$3:$Q$202,0)))</f>
        <v/>
      </c>
      <c r="S120">
        <f>IF($A120="","",IF($D120=1,"",Derived!L120))</f>
        <v/>
      </c>
      <c r="T120" s="19">
        <f>IF($D120=1,$Q120,"")</f>
        <v/>
      </c>
    </row>
    <row r="121">
      <c r="A121">
        <f>Derived!A121</f>
        <v/>
      </c>
      <c r="B121">
        <f>Derived!B121</f>
        <v/>
      </c>
      <c r="C121">
        <f>Derived!C121</f>
        <v/>
      </c>
      <c r="D121">
        <f>Derived!K121</f>
        <v/>
      </c>
      <c r="E121" s="16">
        <f>Derived!F121</f>
        <v/>
      </c>
      <c r="F121">
        <f>IF(OR($E121=""),"",MAX(0,MIN(1,(cfg_PBR_max-MIN($E121,cfg_PBR_max))/(cfg_PBR_max-cfg_PBR_floor))))</f>
        <v/>
      </c>
      <c r="G121" s="17">
        <f>Derived!H121</f>
        <v/>
      </c>
      <c r="H121">
        <f>IF(OR($G121=""),"",MAX(0,MIN(1,MIN($G121,cap_NetCashPct)/cap_NetCashPct)))</f>
        <v/>
      </c>
      <c r="I121" s="15">
        <f>Derived!J121</f>
        <v/>
      </c>
      <c r="J121">
        <f>IF(OR($I121=""),"",MAX(0,MIN(1,($I121-cfg_Liq_min)/(cfg_Liq_cap-cfg_Liq_min))))</f>
        <v/>
      </c>
      <c r="K121" s="17">
        <f>Fundamentals!P121</f>
        <v/>
      </c>
      <c r="L121" s="17">
        <f>Fundamentals!Q121</f>
        <v/>
      </c>
      <c r="M121">
        <f>IF(AND($K121="",$L121=""),"",MIN(1,IF($K121="",0,MIN($K121,cap_DivYield)/cap_DivYield)*0.5+IF($L121="",0,MIN($L121,cap_BuybackYield)/cap_BuybackYield)*0.5))</f>
        <v/>
      </c>
      <c r="N121">
        <f>IF($A121="","",AVERAGE(IF(Fundamentals!R121="",0,Fundamentals!R121),IF(Fundamentals!S121="",0,Fundamentals!S121),IF(Fundamentals!T121="",0,Fundamentals!T121)))</f>
        <v/>
      </c>
      <c r="O121">
        <f>IF($A121="","",MAX(0,MIN(1,$N121)))</f>
        <v/>
      </c>
      <c r="P121" s="18">
        <f>IF($A121="","",ROUND(w_PBR*$F121+w_NetCash*$H121+w_Liq*$J121+w_Return*$M121+w_GovAct*$O121,2))</f>
        <v/>
      </c>
      <c r="Q121" s="19">
        <f>IF($A121="","",$P121+(100000-ROW())/100000000)</f>
        <v/>
      </c>
      <c r="R121">
        <f>IF($A121="","",IF($D121&lt;&gt;1,"",RANK.EQ($Q121,$Q$3:$Q$202,0)))</f>
        <v/>
      </c>
      <c r="S121">
        <f>IF($A121="","",IF($D121=1,"",Derived!L121))</f>
        <v/>
      </c>
      <c r="T121" s="19">
        <f>IF($D121=1,$Q121,"")</f>
        <v/>
      </c>
    </row>
    <row r="122">
      <c r="A122">
        <f>Derived!A122</f>
        <v/>
      </c>
      <c r="B122">
        <f>Derived!B122</f>
        <v/>
      </c>
      <c r="C122">
        <f>Derived!C122</f>
        <v/>
      </c>
      <c r="D122">
        <f>Derived!K122</f>
        <v/>
      </c>
      <c r="E122" s="16">
        <f>Derived!F122</f>
        <v/>
      </c>
      <c r="F122">
        <f>IF(OR($E122=""),"",MAX(0,MIN(1,(cfg_PBR_max-MIN($E122,cfg_PBR_max))/(cfg_PBR_max-cfg_PBR_floor))))</f>
        <v/>
      </c>
      <c r="G122" s="17">
        <f>Derived!H122</f>
        <v/>
      </c>
      <c r="H122">
        <f>IF(OR($G122=""),"",MAX(0,MIN(1,MIN($G122,cap_NetCashPct)/cap_NetCashPct)))</f>
        <v/>
      </c>
      <c r="I122" s="15">
        <f>Derived!J122</f>
        <v/>
      </c>
      <c r="J122">
        <f>IF(OR($I122=""),"",MAX(0,MIN(1,($I122-cfg_Liq_min)/(cfg_Liq_cap-cfg_Liq_min))))</f>
        <v/>
      </c>
      <c r="K122" s="17">
        <f>Fundamentals!P122</f>
        <v/>
      </c>
      <c r="L122" s="17">
        <f>Fundamentals!Q122</f>
        <v/>
      </c>
      <c r="M122">
        <f>IF(AND($K122="",$L122=""),"",MIN(1,IF($K122="",0,MIN($K122,cap_DivYield)/cap_DivYield)*0.5+IF($L122="",0,MIN($L122,cap_BuybackYield)/cap_BuybackYield)*0.5))</f>
        <v/>
      </c>
      <c r="N122">
        <f>IF($A122="","",AVERAGE(IF(Fundamentals!R122="",0,Fundamentals!R122),IF(Fundamentals!S122="",0,Fundamentals!S122),IF(Fundamentals!T122="",0,Fundamentals!T122)))</f>
        <v/>
      </c>
      <c r="O122">
        <f>IF($A122="","",MAX(0,MIN(1,$N122)))</f>
        <v/>
      </c>
      <c r="P122" s="18">
        <f>IF($A122="","",ROUND(w_PBR*$F122+w_NetCash*$H122+w_Liq*$J122+w_Return*$M122+w_GovAct*$O122,2))</f>
        <v/>
      </c>
      <c r="Q122" s="19">
        <f>IF($A122="","",$P122+(100000-ROW())/100000000)</f>
        <v/>
      </c>
      <c r="R122">
        <f>IF($A122="","",IF($D122&lt;&gt;1,"",RANK.EQ($Q122,$Q$3:$Q$202,0)))</f>
        <v/>
      </c>
      <c r="S122">
        <f>IF($A122="","",IF($D122=1,"",Derived!L122))</f>
        <v/>
      </c>
      <c r="T122" s="19">
        <f>IF($D122=1,$Q122,"")</f>
        <v/>
      </c>
    </row>
    <row r="123">
      <c r="A123">
        <f>Derived!A123</f>
        <v/>
      </c>
      <c r="B123">
        <f>Derived!B123</f>
        <v/>
      </c>
      <c r="C123">
        <f>Derived!C123</f>
        <v/>
      </c>
      <c r="D123">
        <f>Derived!K123</f>
        <v/>
      </c>
      <c r="E123" s="16">
        <f>Derived!F123</f>
        <v/>
      </c>
      <c r="F123">
        <f>IF(OR($E123=""),"",MAX(0,MIN(1,(cfg_PBR_max-MIN($E123,cfg_PBR_max))/(cfg_PBR_max-cfg_PBR_floor))))</f>
        <v/>
      </c>
      <c r="G123" s="17">
        <f>Derived!H123</f>
        <v/>
      </c>
      <c r="H123">
        <f>IF(OR($G123=""),"",MAX(0,MIN(1,MIN($G123,cap_NetCashPct)/cap_NetCashPct)))</f>
        <v/>
      </c>
      <c r="I123" s="15">
        <f>Derived!J123</f>
        <v/>
      </c>
      <c r="J123">
        <f>IF(OR($I123=""),"",MAX(0,MIN(1,($I123-cfg_Liq_min)/(cfg_Liq_cap-cfg_Liq_min))))</f>
        <v/>
      </c>
      <c r="K123" s="17">
        <f>Fundamentals!P123</f>
        <v/>
      </c>
      <c r="L123" s="17">
        <f>Fundamentals!Q123</f>
        <v/>
      </c>
      <c r="M123">
        <f>IF(AND($K123="",$L123=""),"",MIN(1,IF($K123="",0,MIN($K123,cap_DivYield)/cap_DivYield)*0.5+IF($L123="",0,MIN($L123,cap_BuybackYield)/cap_BuybackYield)*0.5))</f>
        <v/>
      </c>
      <c r="N123">
        <f>IF($A123="","",AVERAGE(IF(Fundamentals!R123="",0,Fundamentals!R123),IF(Fundamentals!S123="",0,Fundamentals!S123),IF(Fundamentals!T123="",0,Fundamentals!T123)))</f>
        <v/>
      </c>
      <c r="O123">
        <f>IF($A123="","",MAX(0,MIN(1,$N123)))</f>
        <v/>
      </c>
      <c r="P123" s="18">
        <f>IF($A123="","",ROUND(w_PBR*$F123+w_NetCash*$H123+w_Liq*$J123+w_Return*$M123+w_GovAct*$O123,2))</f>
        <v/>
      </c>
      <c r="Q123" s="19">
        <f>IF($A123="","",$P123+(100000-ROW())/100000000)</f>
        <v/>
      </c>
      <c r="R123">
        <f>IF($A123="","",IF($D123&lt;&gt;1,"",RANK.EQ($Q123,$Q$3:$Q$202,0)))</f>
        <v/>
      </c>
      <c r="S123">
        <f>IF($A123="","",IF($D123=1,"",Derived!L123))</f>
        <v/>
      </c>
      <c r="T123" s="19">
        <f>IF($D123=1,$Q123,"")</f>
        <v/>
      </c>
    </row>
    <row r="124">
      <c r="A124">
        <f>Derived!A124</f>
        <v/>
      </c>
      <c r="B124">
        <f>Derived!B124</f>
        <v/>
      </c>
      <c r="C124">
        <f>Derived!C124</f>
        <v/>
      </c>
      <c r="D124">
        <f>Derived!K124</f>
        <v/>
      </c>
      <c r="E124" s="16">
        <f>Derived!F124</f>
        <v/>
      </c>
      <c r="F124">
        <f>IF(OR($E124=""),"",MAX(0,MIN(1,(cfg_PBR_max-MIN($E124,cfg_PBR_max))/(cfg_PBR_max-cfg_PBR_floor))))</f>
        <v/>
      </c>
      <c r="G124" s="17">
        <f>Derived!H124</f>
        <v/>
      </c>
      <c r="H124">
        <f>IF(OR($G124=""),"",MAX(0,MIN(1,MIN($G124,cap_NetCashPct)/cap_NetCashPct)))</f>
        <v/>
      </c>
      <c r="I124" s="15">
        <f>Derived!J124</f>
        <v/>
      </c>
      <c r="J124">
        <f>IF(OR($I124=""),"",MAX(0,MIN(1,($I124-cfg_Liq_min)/(cfg_Liq_cap-cfg_Liq_min))))</f>
        <v/>
      </c>
      <c r="K124" s="17">
        <f>Fundamentals!P124</f>
        <v/>
      </c>
      <c r="L124" s="17">
        <f>Fundamentals!Q124</f>
        <v/>
      </c>
      <c r="M124">
        <f>IF(AND($K124="",$L124=""),"",MIN(1,IF($K124="",0,MIN($K124,cap_DivYield)/cap_DivYield)*0.5+IF($L124="",0,MIN($L124,cap_BuybackYield)/cap_BuybackYield)*0.5))</f>
        <v/>
      </c>
      <c r="N124">
        <f>IF($A124="","",AVERAGE(IF(Fundamentals!R124="",0,Fundamentals!R124),IF(Fundamentals!S124="",0,Fundamentals!S124),IF(Fundamentals!T124="",0,Fundamentals!T124)))</f>
        <v/>
      </c>
      <c r="O124">
        <f>IF($A124="","",MAX(0,MIN(1,$N124)))</f>
        <v/>
      </c>
      <c r="P124" s="18">
        <f>IF($A124="","",ROUND(w_PBR*$F124+w_NetCash*$H124+w_Liq*$J124+w_Return*$M124+w_GovAct*$O124,2))</f>
        <v/>
      </c>
      <c r="Q124" s="19">
        <f>IF($A124="","",$P124+(100000-ROW())/100000000)</f>
        <v/>
      </c>
      <c r="R124">
        <f>IF($A124="","",IF($D124&lt;&gt;1,"",RANK.EQ($Q124,$Q$3:$Q$202,0)))</f>
        <v/>
      </c>
      <c r="S124">
        <f>IF($A124="","",IF($D124=1,"",Derived!L124))</f>
        <v/>
      </c>
      <c r="T124" s="19">
        <f>IF($D124=1,$Q124,"")</f>
        <v/>
      </c>
    </row>
    <row r="125">
      <c r="A125">
        <f>Derived!A125</f>
        <v/>
      </c>
      <c r="B125">
        <f>Derived!B125</f>
        <v/>
      </c>
      <c r="C125">
        <f>Derived!C125</f>
        <v/>
      </c>
      <c r="D125">
        <f>Derived!K125</f>
        <v/>
      </c>
      <c r="E125" s="16">
        <f>Derived!F125</f>
        <v/>
      </c>
      <c r="F125">
        <f>IF(OR($E125=""),"",MAX(0,MIN(1,(cfg_PBR_max-MIN($E125,cfg_PBR_max))/(cfg_PBR_max-cfg_PBR_floor))))</f>
        <v/>
      </c>
      <c r="G125" s="17">
        <f>Derived!H125</f>
        <v/>
      </c>
      <c r="H125">
        <f>IF(OR($G125=""),"",MAX(0,MIN(1,MIN($G125,cap_NetCashPct)/cap_NetCashPct)))</f>
        <v/>
      </c>
      <c r="I125" s="15">
        <f>Derived!J125</f>
        <v/>
      </c>
      <c r="J125">
        <f>IF(OR($I125=""),"",MAX(0,MIN(1,($I125-cfg_Liq_min)/(cfg_Liq_cap-cfg_Liq_min))))</f>
        <v/>
      </c>
      <c r="K125" s="17">
        <f>Fundamentals!P125</f>
        <v/>
      </c>
      <c r="L125" s="17">
        <f>Fundamentals!Q125</f>
        <v/>
      </c>
      <c r="M125">
        <f>IF(AND($K125="",$L125=""),"",MIN(1,IF($K125="",0,MIN($K125,cap_DivYield)/cap_DivYield)*0.5+IF($L125="",0,MIN($L125,cap_BuybackYield)/cap_BuybackYield)*0.5))</f>
        <v/>
      </c>
      <c r="N125">
        <f>IF($A125="","",AVERAGE(IF(Fundamentals!R125="",0,Fundamentals!R125),IF(Fundamentals!S125="",0,Fundamentals!S125),IF(Fundamentals!T125="",0,Fundamentals!T125)))</f>
        <v/>
      </c>
      <c r="O125">
        <f>IF($A125="","",MAX(0,MIN(1,$N125)))</f>
        <v/>
      </c>
      <c r="P125" s="18">
        <f>IF($A125="","",ROUND(w_PBR*$F125+w_NetCash*$H125+w_Liq*$J125+w_Return*$M125+w_GovAct*$O125,2))</f>
        <v/>
      </c>
      <c r="Q125" s="19">
        <f>IF($A125="","",$P125+(100000-ROW())/100000000)</f>
        <v/>
      </c>
      <c r="R125">
        <f>IF($A125="","",IF($D125&lt;&gt;1,"",RANK.EQ($Q125,$Q$3:$Q$202,0)))</f>
        <v/>
      </c>
      <c r="S125">
        <f>IF($A125="","",IF($D125=1,"",Derived!L125))</f>
        <v/>
      </c>
      <c r="T125" s="19">
        <f>IF($D125=1,$Q125,"")</f>
        <v/>
      </c>
    </row>
    <row r="126">
      <c r="A126">
        <f>Derived!A126</f>
        <v/>
      </c>
      <c r="B126">
        <f>Derived!B126</f>
        <v/>
      </c>
      <c r="C126">
        <f>Derived!C126</f>
        <v/>
      </c>
      <c r="D126">
        <f>Derived!K126</f>
        <v/>
      </c>
      <c r="E126" s="16">
        <f>Derived!F126</f>
        <v/>
      </c>
      <c r="F126">
        <f>IF(OR($E126=""),"",MAX(0,MIN(1,(cfg_PBR_max-MIN($E126,cfg_PBR_max))/(cfg_PBR_max-cfg_PBR_floor))))</f>
        <v/>
      </c>
      <c r="G126" s="17">
        <f>Derived!H126</f>
        <v/>
      </c>
      <c r="H126">
        <f>IF(OR($G126=""),"",MAX(0,MIN(1,MIN($G126,cap_NetCashPct)/cap_NetCashPct)))</f>
        <v/>
      </c>
      <c r="I126" s="15">
        <f>Derived!J126</f>
        <v/>
      </c>
      <c r="J126">
        <f>IF(OR($I126=""),"",MAX(0,MIN(1,($I126-cfg_Liq_min)/(cfg_Liq_cap-cfg_Liq_min))))</f>
        <v/>
      </c>
      <c r="K126" s="17">
        <f>Fundamentals!P126</f>
        <v/>
      </c>
      <c r="L126" s="17">
        <f>Fundamentals!Q126</f>
        <v/>
      </c>
      <c r="M126">
        <f>IF(AND($K126="",$L126=""),"",MIN(1,IF($K126="",0,MIN($K126,cap_DivYield)/cap_DivYield)*0.5+IF($L126="",0,MIN($L126,cap_BuybackYield)/cap_BuybackYield)*0.5))</f>
        <v/>
      </c>
      <c r="N126">
        <f>IF($A126="","",AVERAGE(IF(Fundamentals!R126="",0,Fundamentals!R126),IF(Fundamentals!S126="",0,Fundamentals!S126),IF(Fundamentals!T126="",0,Fundamentals!T126)))</f>
        <v/>
      </c>
      <c r="O126">
        <f>IF($A126="","",MAX(0,MIN(1,$N126)))</f>
        <v/>
      </c>
      <c r="P126" s="18">
        <f>IF($A126="","",ROUND(w_PBR*$F126+w_NetCash*$H126+w_Liq*$J126+w_Return*$M126+w_GovAct*$O126,2))</f>
        <v/>
      </c>
      <c r="Q126" s="19">
        <f>IF($A126="","",$P126+(100000-ROW())/100000000)</f>
        <v/>
      </c>
      <c r="R126">
        <f>IF($A126="","",IF($D126&lt;&gt;1,"",RANK.EQ($Q126,$Q$3:$Q$202,0)))</f>
        <v/>
      </c>
      <c r="S126">
        <f>IF($A126="","",IF($D126=1,"",Derived!L126))</f>
        <v/>
      </c>
      <c r="T126" s="19">
        <f>IF($D126=1,$Q126,"")</f>
        <v/>
      </c>
    </row>
    <row r="127">
      <c r="A127">
        <f>Derived!A127</f>
        <v/>
      </c>
      <c r="B127">
        <f>Derived!B127</f>
        <v/>
      </c>
      <c r="C127">
        <f>Derived!C127</f>
        <v/>
      </c>
      <c r="D127">
        <f>Derived!K127</f>
        <v/>
      </c>
      <c r="E127" s="16">
        <f>Derived!F127</f>
        <v/>
      </c>
      <c r="F127">
        <f>IF(OR($E127=""),"",MAX(0,MIN(1,(cfg_PBR_max-MIN($E127,cfg_PBR_max))/(cfg_PBR_max-cfg_PBR_floor))))</f>
        <v/>
      </c>
      <c r="G127" s="17">
        <f>Derived!H127</f>
        <v/>
      </c>
      <c r="H127">
        <f>IF(OR($G127=""),"",MAX(0,MIN(1,MIN($G127,cap_NetCashPct)/cap_NetCashPct)))</f>
        <v/>
      </c>
      <c r="I127" s="15">
        <f>Derived!J127</f>
        <v/>
      </c>
      <c r="J127">
        <f>IF(OR($I127=""),"",MAX(0,MIN(1,($I127-cfg_Liq_min)/(cfg_Liq_cap-cfg_Liq_min))))</f>
        <v/>
      </c>
      <c r="K127" s="17">
        <f>Fundamentals!P127</f>
        <v/>
      </c>
      <c r="L127" s="17">
        <f>Fundamentals!Q127</f>
        <v/>
      </c>
      <c r="M127">
        <f>IF(AND($K127="",$L127=""),"",MIN(1,IF($K127="",0,MIN($K127,cap_DivYield)/cap_DivYield)*0.5+IF($L127="",0,MIN($L127,cap_BuybackYield)/cap_BuybackYield)*0.5))</f>
        <v/>
      </c>
      <c r="N127">
        <f>IF($A127="","",AVERAGE(IF(Fundamentals!R127="",0,Fundamentals!R127),IF(Fundamentals!S127="",0,Fundamentals!S127),IF(Fundamentals!T127="",0,Fundamentals!T127)))</f>
        <v/>
      </c>
      <c r="O127">
        <f>IF($A127="","",MAX(0,MIN(1,$N127)))</f>
        <v/>
      </c>
      <c r="P127" s="18">
        <f>IF($A127="","",ROUND(w_PBR*$F127+w_NetCash*$H127+w_Liq*$J127+w_Return*$M127+w_GovAct*$O127,2))</f>
        <v/>
      </c>
      <c r="Q127" s="19">
        <f>IF($A127="","",$P127+(100000-ROW())/100000000)</f>
        <v/>
      </c>
      <c r="R127">
        <f>IF($A127="","",IF($D127&lt;&gt;1,"",RANK.EQ($Q127,$Q$3:$Q$202,0)))</f>
        <v/>
      </c>
      <c r="S127">
        <f>IF($A127="","",IF($D127=1,"",Derived!L127))</f>
        <v/>
      </c>
      <c r="T127" s="19">
        <f>IF($D127=1,$Q127,"")</f>
        <v/>
      </c>
    </row>
    <row r="128">
      <c r="A128">
        <f>Derived!A128</f>
        <v/>
      </c>
      <c r="B128">
        <f>Derived!B128</f>
        <v/>
      </c>
      <c r="C128">
        <f>Derived!C128</f>
        <v/>
      </c>
      <c r="D128">
        <f>Derived!K128</f>
        <v/>
      </c>
      <c r="E128" s="16">
        <f>Derived!F128</f>
        <v/>
      </c>
      <c r="F128">
        <f>IF(OR($E128=""),"",MAX(0,MIN(1,(cfg_PBR_max-MIN($E128,cfg_PBR_max))/(cfg_PBR_max-cfg_PBR_floor))))</f>
        <v/>
      </c>
      <c r="G128" s="17">
        <f>Derived!H128</f>
        <v/>
      </c>
      <c r="H128">
        <f>IF(OR($G128=""),"",MAX(0,MIN(1,MIN($G128,cap_NetCashPct)/cap_NetCashPct)))</f>
        <v/>
      </c>
      <c r="I128" s="15">
        <f>Derived!J128</f>
        <v/>
      </c>
      <c r="J128">
        <f>IF(OR($I128=""),"",MAX(0,MIN(1,($I128-cfg_Liq_min)/(cfg_Liq_cap-cfg_Liq_min))))</f>
        <v/>
      </c>
      <c r="K128" s="17">
        <f>Fundamentals!P128</f>
        <v/>
      </c>
      <c r="L128" s="17">
        <f>Fundamentals!Q128</f>
        <v/>
      </c>
      <c r="M128">
        <f>IF(AND($K128="",$L128=""),"",MIN(1,IF($K128="",0,MIN($K128,cap_DivYield)/cap_DivYield)*0.5+IF($L128="",0,MIN($L128,cap_BuybackYield)/cap_BuybackYield)*0.5))</f>
        <v/>
      </c>
      <c r="N128">
        <f>IF($A128="","",AVERAGE(IF(Fundamentals!R128="",0,Fundamentals!R128),IF(Fundamentals!S128="",0,Fundamentals!S128),IF(Fundamentals!T128="",0,Fundamentals!T128)))</f>
        <v/>
      </c>
      <c r="O128">
        <f>IF($A128="","",MAX(0,MIN(1,$N128)))</f>
        <v/>
      </c>
      <c r="P128" s="18">
        <f>IF($A128="","",ROUND(w_PBR*$F128+w_NetCash*$H128+w_Liq*$J128+w_Return*$M128+w_GovAct*$O128,2))</f>
        <v/>
      </c>
      <c r="Q128" s="19">
        <f>IF($A128="","",$P128+(100000-ROW())/100000000)</f>
        <v/>
      </c>
      <c r="R128">
        <f>IF($A128="","",IF($D128&lt;&gt;1,"",RANK.EQ($Q128,$Q$3:$Q$202,0)))</f>
        <v/>
      </c>
      <c r="S128">
        <f>IF($A128="","",IF($D128=1,"",Derived!L128))</f>
        <v/>
      </c>
      <c r="T128" s="19">
        <f>IF($D128=1,$Q128,"")</f>
        <v/>
      </c>
    </row>
    <row r="129">
      <c r="A129">
        <f>Derived!A129</f>
        <v/>
      </c>
      <c r="B129">
        <f>Derived!B129</f>
        <v/>
      </c>
      <c r="C129">
        <f>Derived!C129</f>
        <v/>
      </c>
      <c r="D129">
        <f>Derived!K129</f>
        <v/>
      </c>
      <c r="E129" s="16">
        <f>Derived!F129</f>
        <v/>
      </c>
      <c r="F129">
        <f>IF(OR($E129=""),"",MAX(0,MIN(1,(cfg_PBR_max-MIN($E129,cfg_PBR_max))/(cfg_PBR_max-cfg_PBR_floor))))</f>
        <v/>
      </c>
      <c r="G129" s="17">
        <f>Derived!H129</f>
        <v/>
      </c>
      <c r="H129">
        <f>IF(OR($G129=""),"",MAX(0,MIN(1,MIN($G129,cap_NetCashPct)/cap_NetCashPct)))</f>
        <v/>
      </c>
      <c r="I129" s="15">
        <f>Derived!J129</f>
        <v/>
      </c>
      <c r="J129">
        <f>IF(OR($I129=""),"",MAX(0,MIN(1,($I129-cfg_Liq_min)/(cfg_Liq_cap-cfg_Liq_min))))</f>
        <v/>
      </c>
      <c r="K129" s="17">
        <f>Fundamentals!P129</f>
        <v/>
      </c>
      <c r="L129" s="17">
        <f>Fundamentals!Q129</f>
        <v/>
      </c>
      <c r="M129">
        <f>IF(AND($K129="",$L129=""),"",MIN(1,IF($K129="",0,MIN($K129,cap_DivYield)/cap_DivYield)*0.5+IF($L129="",0,MIN($L129,cap_BuybackYield)/cap_BuybackYield)*0.5))</f>
        <v/>
      </c>
      <c r="N129">
        <f>IF($A129="","",AVERAGE(IF(Fundamentals!R129="",0,Fundamentals!R129),IF(Fundamentals!S129="",0,Fundamentals!S129),IF(Fundamentals!T129="",0,Fundamentals!T129)))</f>
        <v/>
      </c>
      <c r="O129">
        <f>IF($A129="","",MAX(0,MIN(1,$N129)))</f>
        <v/>
      </c>
      <c r="P129" s="18">
        <f>IF($A129="","",ROUND(w_PBR*$F129+w_NetCash*$H129+w_Liq*$J129+w_Return*$M129+w_GovAct*$O129,2))</f>
        <v/>
      </c>
      <c r="Q129" s="19">
        <f>IF($A129="","",$P129+(100000-ROW())/100000000)</f>
        <v/>
      </c>
      <c r="R129">
        <f>IF($A129="","",IF($D129&lt;&gt;1,"",RANK.EQ($Q129,$Q$3:$Q$202,0)))</f>
        <v/>
      </c>
      <c r="S129">
        <f>IF($A129="","",IF($D129=1,"",Derived!L129))</f>
        <v/>
      </c>
      <c r="T129" s="19">
        <f>IF($D129=1,$Q129,"")</f>
        <v/>
      </c>
    </row>
    <row r="130">
      <c r="A130">
        <f>Derived!A130</f>
        <v/>
      </c>
      <c r="B130">
        <f>Derived!B130</f>
        <v/>
      </c>
      <c r="C130">
        <f>Derived!C130</f>
        <v/>
      </c>
      <c r="D130">
        <f>Derived!K130</f>
        <v/>
      </c>
      <c r="E130" s="16">
        <f>Derived!F130</f>
        <v/>
      </c>
      <c r="F130">
        <f>IF(OR($E130=""),"",MAX(0,MIN(1,(cfg_PBR_max-MIN($E130,cfg_PBR_max))/(cfg_PBR_max-cfg_PBR_floor))))</f>
        <v/>
      </c>
      <c r="G130" s="17">
        <f>Derived!H130</f>
        <v/>
      </c>
      <c r="H130">
        <f>IF(OR($G130=""),"",MAX(0,MIN(1,MIN($G130,cap_NetCashPct)/cap_NetCashPct)))</f>
        <v/>
      </c>
      <c r="I130" s="15">
        <f>Derived!J130</f>
        <v/>
      </c>
      <c r="J130">
        <f>IF(OR($I130=""),"",MAX(0,MIN(1,($I130-cfg_Liq_min)/(cfg_Liq_cap-cfg_Liq_min))))</f>
        <v/>
      </c>
      <c r="K130" s="17">
        <f>Fundamentals!P130</f>
        <v/>
      </c>
      <c r="L130" s="17">
        <f>Fundamentals!Q130</f>
        <v/>
      </c>
      <c r="M130">
        <f>IF(AND($K130="",$L130=""),"",MIN(1,IF($K130="",0,MIN($K130,cap_DivYield)/cap_DivYield)*0.5+IF($L130="",0,MIN($L130,cap_BuybackYield)/cap_BuybackYield)*0.5))</f>
        <v/>
      </c>
      <c r="N130">
        <f>IF($A130="","",AVERAGE(IF(Fundamentals!R130="",0,Fundamentals!R130),IF(Fundamentals!S130="",0,Fundamentals!S130),IF(Fundamentals!T130="",0,Fundamentals!T130)))</f>
        <v/>
      </c>
      <c r="O130">
        <f>IF($A130="","",MAX(0,MIN(1,$N130)))</f>
        <v/>
      </c>
      <c r="P130" s="18">
        <f>IF($A130="","",ROUND(w_PBR*$F130+w_NetCash*$H130+w_Liq*$J130+w_Return*$M130+w_GovAct*$O130,2))</f>
        <v/>
      </c>
      <c r="Q130" s="19">
        <f>IF($A130="","",$P130+(100000-ROW())/100000000)</f>
        <v/>
      </c>
      <c r="R130">
        <f>IF($A130="","",IF($D130&lt;&gt;1,"",RANK.EQ($Q130,$Q$3:$Q$202,0)))</f>
        <v/>
      </c>
      <c r="S130">
        <f>IF($A130="","",IF($D130=1,"",Derived!L130))</f>
        <v/>
      </c>
      <c r="T130" s="19">
        <f>IF($D130=1,$Q130,"")</f>
        <v/>
      </c>
    </row>
    <row r="131">
      <c r="A131">
        <f>Derived!A131</f>
        <v/>
      </c>
      <c r="B131">
        <f>Derived!B131</f>
        <v/>
      </c>
      <c r="C131">
        <f>Derived!C131</f>
        <v/>
      </c>
      <c r="D131">
        <f>Derived!K131</f>
        <v/>
      </c>
      <c r="E131" s="16">
        <f>Derived!F131</f>
        <v/>
      </c>
      <c r="F131">
        <f>IF(OR($E131=""),"",MAX(0,MIN(1,(cfg_PBR_max-MIN($E131,cfg_PBR_max))/(cfg_PBR_max-cfg_PBR_floor))))</f>
        <v/>
      </c>
      <c r="G131" s="17">
        <f>Derived!H131</f>
        <v/>
      </c>
      <c r="H131">
        <f>IF(OR($G131=""),"",MAX(0,MIN(1,MIN($G131,cap_NetCashPct)/cap_NetCashPct)))</f>
        <v/>
      </c>
      <c r="I131" s="15">
        <f>Derived!J131</f>
        <v/>
      </c>
      <c r="J131">
        <f>IF(OR($I131=""),"",MAX(0,MIN(1,($I131-cfg_Liq_min)/(cfg_Liq_cap-cfg_Liq_min))))</f>
        <v/>
      </c>
      <c r="K131" s="17">
        <f>Fundamentals!P131</f>
        <v/>
      </c>
      <c r="L131" s="17">
        <f>Fundamentals!Q131</f>
        <v/>
      </c>
      <c r="M131">
        <f>IF(AND($K131="",$L131=""),"",MIN(1,IF($K131="",0,MIN($K131,cap_DivYield)/cap_DivYield)*0.5+IF($L131="",0,MIN($L131,cap_BuybackYield)/cap_BuybackYield)*0.5))</f>
        <v/>
      </c>
      <c r="N131">
        <f>IF($A131="","",AVERAGE(IF(Fundamentals!R131="",0,Fundamentals!R131),IF(Fundamentals!S131="",0,Fundamentals!S131),IF(Fundamentals!T131="",0,Fundamentals!T131)))</f>
        <v/>
      </c>
      <c r="O131">
        <f>IF($A131="","",MAX(0,MIN(1,$N131)))</f>
        <v/>
      </c>
      <c r="P131" s="18">
        <f>IF($A131="","",ROUND(w_PBR*$F131+w_NetCash*$H131+w_Liq*$J131+w_Return*$M131+w_GovAct*$O131,2))</f>
        <v/>
      </c>
      <c r="Q131" s="19">
        <f>IF($A131="","",$P131+(100000-ROW())/100000000)</f>
        <v/>
      </c>
      <c r="R131">
        <f>IF($A131="","",IF($D131&lt;&gt;1,"",RANK.EQ($Q131,$Q$3:$Q$202,0)))</f>
        <v/>
      </c>
      <c r="S131">
        <f>IF($A131="","",IF($D131=1,"",Derived!L131))</f>
        <v/>
      </c>
      <c r="T131" s="19">
        <f>IF($D131=1,$Q131,"")</f>
        <v/>
      </c>
    </row>
    <row r="132">
      <c r="A132">
        <f>Derived!A132</f>
        <v/>
      </c>
      <c r="B132">
        <f>Derived!B132</f>
        <v/>
      </c>
      <c r="C132">
        <f>Derived!C132</f>
        <v/>
      </c>
      <c r="D132">
        <f>Derived!K132</f>
        <v/>
      </c>
      <c r="E132" s="16">
        <f>Derived!F132</f>
        <v/>
      </c>
      <c r="F132">
        <f>IF(OR($E132=""),"",MAX(0,MIN(1,(cfg_PBR_max-MIN($E132,cfg_PBR_max))/(cfg_PBR_max-cfg_PBR_floor))))</f>
        <v/>
      </c>
      <c r="G132" s="17">
        <f>Derived!H132</f>
        <v/>
      </c>
      <c r="H132">
        <f>IF(OR($G132=""),"",MAX(0,MIN(1,MIN($G132,cap_NetCashPct)/cap_NetCashPct)))</f>
        <v/>
      </c>
      <c r="I132" s="15">
        <f>Derived!J132</f>
        <v/>
      </c>
      <c r="J132">
        <f>IF(OR($I132=""),"",MAX(0,MIN(1,($I132-cfg_Liq_min)/(cfg_Liq_cap-cfg_Liq_min))))</f>
        <v/>
      </c>
      <c r="K132" s="17">
        <f>Fundamentals!P132</f>
        <v/>
      </c>
      <c r="L132" s="17">
        <f>Fundamentals!Q132</f>
        <v/>
      </c>
      <c r="M132">
        <f>IF(AND($K132="",$L132=""),"",MIN(1,IF($K132="",0,MIN($K132,cap_DivYield)/cap_DivYield)*0.5+IF($L132="",0,MIN($L132,cap_BuybackYield)/cap_BuybackYield)*0.5))</f>
        <v/>
      </c>
      <c r="N132">
        <f>IF($A132="","",AVERAGE(IF(Fundamentals!R132="",0,Fundamentals!R132),IF(Fundamentals!S132="",0,Fundamentals!S132),IF(Fundamentals!T132="",0,Fundamentals!T132)))</f>
        <v/>
      </c>
      <c r="O132">
        <f>IF($A132="","",MAX(0,MIN(1,$N132)))</f>
        <v/>
      </c>
      <c r="P132" s="18">
        <f>IF($A132="","",ROUND(w_PBR*$F132+w_NetCash*$H132+w_Liq*$J132+w_Return*$M132+w_GovAct*$O132,2))</f>
        <v/>
      </c>
      <c r="Q132" s="19">
        <f>IF($A132="","",$P132+(100000-ROW())/100000000)</f>
        <v/>
      </c>
      <c r="R132">
        <f>IF($A132="","",IF($D132&lt;&gt;1,"",RANK.EQ($Q132,$Q$3:$Q$202,0)))</f>
        <v/>
      </c>
      <c r="S132">
        <f>IF($A132="","",IF($D132=1,"",Derived!L132))</f>
        <v/>
      </c>
      <c r="T132" s="19">
        <f>IF($D132=1,$Q132,"")</f>
        <v/>
      </c>
    </row>
    <row r="133">
      <c r="A133">
        <f>Derived!A133</f>
        <v/>
      </c>
      <c r="B133">
        <f>Derived!B133</f>
        <v/>
      </c>
      <c r="C133">
        <f>Derived!C133</f>
        <v/>
      </c>
      <c r="D133">
        <f>Derived!K133</f>
        <v/>
      </c>
      <c r="E133" s="16">
        <f>Derived!F133</f>
        <v/>
      </c>
      <c r="F133">
        <f>IF(OR($E133=""),"",MAX(0,MIN(1,(cfg_PBR_max-MIN($E133,cfg_PBR_max))/(cfg_PBR_max-cfg_PBR_floor))))</f>
        <v/>
      </c>
      <c r="G133" s="17">
        <f>Derived!H133</f>
        <v/>
      </c>
      <c r="H133">
        <f>IF(OR($G133=""),"",MAX(0,MIN(1,MIN($G133,cap_NetCashPct)/cap_NetCashPct)))</f>
        <v/>
      </c>
      <c r="I133" s="15">
        <f>Derived!J133</f>
        <v/>
      </c>
      <c r="J133">
        <f>IF(OR($I133=""),"",MAX(0,MIN(1,($I133-cfg_Liq_min)/(cfg_Liq_cap-cfg_Liq_min))))</f>
        <v/>
      </c>
      <c r="K133" s="17">
        <f>Fundamentals!P133</f>
        <v/>
      </c>
      <c r="L133" s="17">
        <f>Fundamentals!Q133</f>
        <v/>
      </c>
      <c r="M133">
        <f>IF(AND($K133="",$L133=""),"",MIN(1,IF($K133="",0,MIN($K133,cap_DivYield)/cap_DivYield)*0.5+IF($L133="",0,MIN($L133,cap_BuybackYield)/cap_BuybackYield)*0.5))</f>
        <v/>
      </c>
      <c r="N133">
        <f>IF($A133="","",AVERAGE(IF(Fundamentals!R133="",0,Fundamentals!R133),IF(Fundamentals!S133="",0,Fundamentals!S133),IF(Fundamentals!T133="",0,Fundamentals!T133)))</f>
        <v/>
      </c>
      <c r="O133">
        <f>IF($A133="","",MAX(0,MIN(1,$N133)))</f>
        <v/>
      </c>
      <c r="P133" s="18">
        <f>IF($A133="","",ROUND(w_PBR*$F133+w_NetCash*$H133+w_Liq*$J133+w_Return*$M133+w_GovAct*$O133,2))</f>
        <v/>
      </c>
      <c r="Q133" s="19">
        <f>IF($A133="","",$P133+(100000-ROW())/100000000)</f>
        <v/>
      </c>
      <c r="R133">
        <f>IF($A133="","",IF($D133&lt;&gt;1,"",RANK.EQ($Q133,$Q$3:$Q$202,0)))</f>
        <v/>
      </c>
      <c r="S133">
        <f>IF($A133="","",IF($D133=1,"",Derived!L133))</f>
        <v/>
      </c>
      <c r="T133" s="19">
        <f>IF($D133=1,$Q133,"")</f>
        <v/>
      </c>
    </row>
    <row r="134">
      <c r="A134">
        <f>Derived!A134</f>
        <v/>
      </c>
      <c r="B134">
        <f>Derived!B134</f>
        <v/>
      </c>
      <c r="C134">
        <f>Derived!C134</f>
        <v/>
      </c>
      <c r="D134">
        <f>Derived!K134</f>
        <v/>
      </c>
      <c r="E134" s="16">
        <f>Derived!F134</f>
        <v/>
      </c>
      <c r="F134">
        <f>IF(OR($E134=""),"",MAX(0,MIN(1,(cfg_PBR_max-MIN($E134,cfg_PBR_max))/(cfg_PBR_max-cfg_PBR_floor))))</f>
        <v/>
      </c>
      <c r="G134" s="17">
        <f>Derived!H134</f>
        <v/>
      </c>
      <c r="H134">
        <f>IF(OR($G134=""),"",MAX(0,MIN(1,MIN($G134,cap_NetCashPct)/cap_NetCashPct)))</f>
        <v/>
      </c>
      <c r="I134" s="15">
        <f>Derived!J134</f>
        <v/>
      </c>
      <c r="J134">
        <f>IF(OR($I134=""),"",MAX(0,MIN(1,($I134-cfg_Liq_min)/(cfg_Liq_cap-cfg_Liq_min))))</f>
        <v/>
      </c>
      <c r="K134" s="17">
        <f>Fundamentals!P134</f>
        <v/>
      </c>
      <c r="L134" s="17">
        <f>Fundamentals!Q134</f>
        <v/>
      </c>
      <c r="M134">
        <f>IF(AND($K134="",$L134=""),"",MIN(1,IF($K134="",0,MIN($K134,cap_DivYield)/cap_DivYield)*0.5+IF($L134="",0,MIN($L134,cap_BuybackYield)/cap_BuybackYield)*0.5))</f>
        <v/>
      </c>
      <c r="N134">
        <f>IF($A134="","",AVERAGE(IF(Fundamentals!R134="",0,Fundamentals!R134),IF(Fundamentals!S134="",0,Fundamentals!S134),IF(Fundamentals!T134="",0,Fundamentals!T134)))</f>
        <v/>
      </c>
      <c r="O134">
        <f>IF($A134="","",MAX(0,MIN(1,$N134)))</f>
        <v/>
      </c>
      <c r="P134" s="18">
        <f>IF($A134="","",ROUND(w_PBR*$F134+w_NetCash*$H134+w_Liq*$J134+w_Return*$M134+w_GovAct*$O134,2))</f>
        <v/>
      </c>
      <c r="Q134" s="19">
        <f>IF($A134="","",$P134+(100000-ROW())/100000000)</f>
        <v/>
      </c>
      <c r="R134">
        <f>IF($A134="","",IF($D134&lt;&gt;1,"",RANK.EQ($Q134,$Q$3:$Q$202,0)))</f>
        <v/>
      </c>
      <c r="S134">
        <f>IF($A134="","",IF($D134=1,"",Derived!L134))</f>
        <v/>
      </c>
      <c r="T134" s="19">
        <f>IF($D134=1,$Q134,"")</f>
        <v/>
      </c>
    </row>
    <row r="135">
      <c r="A135">
        <f>Derived!A135</f>
        <v/>
      </c>
      <c r="B135">
        <f>Derived!B135</f>
        <v/>
      </c>
      <c r="C135">
        <f>Derived!C135</f>
        <v/>
      </c>
      <c r="D135">
        <f>Derived!K135</f>
        <v/>
      </c>
      <c r="E135" s="16">
        <f>Derived!F135</f>
        <v/>
      </c>
      <c r="F135">
        <f>IF(OR($E135=""),"",MAX(0,MIN(1,(cfg_PBR_max-MIN($E135,cfg_PBR_max))/(cfg_PBR_max-cfg_PBR_floor))))</f>
        <v/>
      </c>
      <c r="G135" s="17">
        <f>Derived!H135</f>
        <v/>
      </c>
      <c r="H135">
        <f>IF(OR($G135=""),"",MAX(0,MIN(1,MIN($G135,cap_NetCashPct)/cap_NetCashPct)))</f>
        <v/>
      </c>
      <c r="I135" s="15">
        <f>Derived!J135</f>
        <v/>
      </c>
      <c r="J135">
        <f>IF(OR($I135=""),"",MAX(0,MIN(1,($I135-cfg_Liq_min)/(cfg_Liq_cap-cfg_Liq_min))))</f>
        <v/>
      </c>
      <c r="K135" s="17">
        <f>Fundamentals!P135</f>
        <v/>
      </c>
      <c r="L135" s="17">
        <f>Fundamentals!Q135</f>
        <v/>
      </c>
      <c r="M135">
        <f>IF(AND($K135="",$L135=""),"",MIN(1,IF($K135="",0,MIN($K135,cap_DivYield)/cap_DivYield)*0.5+IF($L135="",0,MIN($L135,cap_BuybackYield)/cap_BuybackYield)*0.5))</f>
        <v/>
      </c>
      <c r="N135">
        <f>IF($A135="","",AVERAGE(IF(Fundamentals!R135="",0,Fundamentals!R135),IF(Fundamentals!S135="",0,Fundamentals!S135),IF(Fundamentals!T135="",0,Fundamentals!T135)))</f>
        <v/>
      </c>
      <c r="O135">
        <f>IF($A135="","",MAX(0,MIN(1,$N135)))</f>
        <v/>
      </c>
      <c r="P135" s="18">
        <f>IF($A135="","",ROUND(w_PBR*$F135+w_NetCash*$H135+w_Liq*$J135+w_Return*$M135+w_GovAct*$O135,2))</f>
        <v/>
      </c>
      <c r="Q135" s="19">
        <f>IF($A135="","",$P135+(100000-ROW())/100000000)</f>
        <v/>
      </c>
      <c r="R135">
        <f>IF($A135="","",IF($D135&lt;&gt;1,"",RANK.EQ($Q135,$Q$3:$Q$202,0)))</f>
        <v/>
      </c>
      <c r="S135">
        <f>IF($A135="","",IF($D135=1,"",Derived!L135))</f>
        <v/>
      </c>
      <c r="T135" s="19">
        <f>IF($D135=1,$Q135,"")</f>
        <v/>
      </c>
    </row>
    <row r="136">
      <c r="A136">
        <f>Derived!A136</f>
        <v/>
      </c>
      <c r="B136">
        <f>Derived!B136</f>
        <v/>
      </c>
      <c r="C136">
        <f>Derived!C136</f>
        <v/>
      </c>
      <c r="D136">
        <f>Derived!K136</f>
        <v/>
      </c>
      <c r="E136" s="16">
        <f>Derived!F136</f>
        <v/>
      </c>
      <c r="F136">
        <f>IF(OR($E136=""),"",MAX(0,MIN(1,(cfg_PBR_max-MIN($E136,cfg_PBR_max))/(cfg_PBR_max-cfg_PBR_floor))))</f>
        <v/>
      </c>
      <c r="G136" s="17">
        <f>Derived!H136</f>
        <v/>
      </c>
      <c r="H136">
        <f>IF(OR($G136=""),"",MAX(0,MIN(1,MIN($G136,cap_NetCashPct)/cap_NetCashPct)))</f>
        <v/>
      </c>
      <c r="I136" s="15">
        <f>Derived!J136</f>
        <v/>
      </c>
      <c r="J136">
        <f>IF(OR($I136=""),"",MAX(0,MIN(1,($I136-cfg_Liq_min)/(cfg_Liq_cap-cfg_Liq_min))))</f>
        <v/>
      </c>
      <c r="K136" s="17">
        <f>Fundamentals!P136</f>
        <v/>
      </c>
      <c r="L136" s="17">
        <f>Fundamentals!Q136</f>
        <v/>
      </c>
      <c r="M136">
        <f>IF(AND($K136="",$L136=""),"",MIN(1,IF($K136="",0,MIN($K136,cap_DivYield)/cap_DivYield)*0.5+IF($L136="",0,MIN($L136,cap_BuybackYield)/cap_BuybackYield)*0.5))</f>
        <v/>
      </c>
      <c r="N136">
        <f>IF($A136="","",AVERAGE(IF(Fundamentals!R136="",0,Fundamentals!R136),IF(Fundamentals!S136="",0,Fundamentals!S136),IF(Fundamentals!T136="",0,Fundamentals!T136)))</f>
        <v/>
      </c>
      <c r="O136">
        <f>IF($A136="","",MAX(0,MIN(1,$N136)))</f>
        <v/>
      </c>
      <c r="P136" s="18">
        <f>IF($A136="","",ROUND(w_PBR*$F136+w_NetCash*$H136+w_Liq*$J136+w_Return*$M136+w_GovAct*$O136,2))</f>
        <v/>
      </c>
      <c r="Q136" s="19">
        <f>IF($A136="","",$P136+(100000-ROW())/100000000)</f>
        <v/>
      </c>
      <c r="R136">
        <f>IF($A136="","",IF($D136&lt;&gt;1,"",RANK.EQ($Q136,$Q$3:$Q$202,0)))</f>
        <v/>
      </c>
      <c r="S136">
        <f>IF($A136="","",IF($D136=1,"",Derived!L136))</f>
        <v/>
      </c>
      <c r="T136" s="19">
        <f>IF($D136=1,$Q136,"")</f>
        <v/>
      </c>
    </row>
    <row r="137">
      <c r="A137">
        <f>Derived!A137</f>
        <v/>
      </c>
      <c r="B137">
        <f>Derived!B137</f>
        <v/>
      </c>
      <c r="C137">
        <f>Derived!C137</f>
        <v/>
      </c>
      <c r="D137">
        <f>Derived!K137</f>
        <v/>
      </c>
      <c r="E137" s="16">
        <f>Derived!F137</f>
        <v/>
      </c>
      <c r="F137">
        <f>IF(OR($E137=""),"",MAX(0,MIN(1,(cfg_PBR_max-MIN($E137,cfg_PBR_max))/(cfg_PBR_max-cfg_PBR_floor))))</f>
        <v/>
      </c>
      <c r="G137" s="17">
        <f>Derived!H137</f>
        <v/>
      </c>
      <c r="H137">
        <f>IF(OR($G137=""),"",MAX(0,MIN(1,MIN($G137,cap_NetCashPct)/cap_NetCashPct)))</f>
        <v/>
      </c>
      <c r="I137" s="15">
        <f>Derived!J137</f>
        <v/>
      </c>
      <c r="J137">
        <f>IF(OR($I137=""),"",MAX(0,MIN(1,($I137-cfg_Liq_min)/(cfg_Liq_cap-cfg_Liq_min))))</f>
        <v/>
      </c>
      <c r="K137" s="17">
        <f>Fundamentals!P137</f>
        <v/>
      </c>
      <c r="L137" s="17">
        <f>Fundamentals!Q137</f>
        <v/>
      </c>
      <c r="M137">
        <f>IF(AND($K137="",$L137=""),"",MIN(1,IF($K137="",0,MIN($K137,cap_DivYield)/cap_DivYield)*0.5+IF($L137="",0,MIN($L137,cap_BuybackYield)/cap_BuybackYield)*0.5))</f>
        <v/>
      </c>
      <c r="N137">
        <f>IF($A137="","",AVERAGE(IF(Fundamentals!R137="",0,Fundamentals!R137),IF(Fundamentals!S137="",0,Fundamentals!S137),IF(Fundamentals!T137="",0,Fundamentals!T137)))</f>
        <v/>
      </c>
      <c r="O137">
        <f>IF($A137="","",MAX(0,MIN(1,$N137)))</f>
        <v/>
      </c>
      <c r="P137" s="18">
        <f>IF($A137="","",ROUND(w_PBR*$F137+w_NetCash*$H137+w_Liq*$J137+w_Return*$M137+w_GovAct*$O137,2))</f>
        <v/>
      </c>
      <c r="Q137" s="19">
        <f>IF($A137="","",$P137+(100000-ROW())/100000000)</f>
        <v/>
      </c>
      <c r="R137">
        <f>IF($A137="","",IF($D137&lt;&gt;1,"",RANK.EQ($Q137,$Q$3:$Q$202,0)))</f>
        <v/>
      </c>
      <c r="S137">
        <f>IF($A137="","",IF($D137=1,"",Derived!L137))</f>
        <v/>
      </c>
      <c r="T137" s="19">
        <f>IF($D137=1,$Q137,"")</f>
        <v/>
      </c>
    </row>
    <row r="138">
      <c r="A138">
        <f>Derived!A138</f>
        <v/>
      </c>
      <c r="B138">
        <f>Derived!B138</f>
        <v/>
      </c>
      <c r="C138">
        <f>Derived!C138</f>
        <v/>
      </c>
      <c r="D138">
        <f>Derived!K138</f>
        <v/>
      </c>
      <c r="E138" s="16">
        <f>Derived!F138</f>
        <v/>
      </c>
      <c r="F138">
        <f>IF(OR($E138=""),"",MAX(0,MIN(1,(cfg_PBR_max-MIN($E138,cfg_PBR_max))/(cfg_PBR_max-cfg_PBR_floor))))</f>
        <v/>
      </c>
      <c r="G138" s="17">
        <f>Derived!H138</f>
        <v/>
      </c>
      <c r="H138">
        <f>IF(OR($G138=""),"",MAX(0,MIN(1,MIN($G138,cap_NetCashPct)/cap_NetCashPct)))</f>
        <v/>
      </c>
      <c r="I138" s="15">
        <f>Derived!J138</f>
        <v/>
      </c>
      <c r="J138">
        <f>IF(OR($I138=""),"",MAX(0,MIN(1,($I138-cfg_Liq_min)/(cfg_Liq_cap-cfg_Liq_min))))</f>
        <v/>
      </c>
      <c r="K138" s="17">
        <f>Fundamentals!P138</f>
        <v/>
      </c>
      <c r="L138" s="17">
        <f>Fundamentals!Q138</f>
        <v/>
      </c>
      <c r="M138">
        <f>IF(AND($K138="",$L138=""),"",MIN(1,IF($K138="",0,MIN($K138,cap_DivYield)/cap_DivYield)*0.5+IF($L138="",0,MIN($L138,cap_BuybackYield)/cap_BuybackYield)*0.5))</f>
        <v/>
      </c>
      <c r="N138">
        <f>IF($A138="","",AVERAGE(IF(Fundamentals!R138="",0,Fundamentals!R138),IF(Fundamentals!S138="",0,Fundamentals!S138),IF(Fundamentals!T138="",0,Fundamentals!T138)))</f>
        <v/>
      </c>
      <c r="O138">
        <f>IF($A138="","",MAX(0,MIN(1,$N138)))</f>
        <v/>
      </c>
      <c r="P138" s="18">
        <f>IF($A138="","",ROUND(w_PBR*$F138+w_NetCash*$H138+w_Liq*$J138+w_Return*$M138+w_GovAct*$O138,2))</f>
        <v/>
      </c>
      <c r="Q138" s="19">
        <f>IF($A138="","",$P138+(100000-ROW())/100000000)</f>
        <v/>
      </c>
      <c r="R138">
        <f>IF($A138="","",IF($D138&lt;&gt;1,"",RANK.EQ($Q138,$Q$3:$Q$202,0)))</f>
        <v/>
      </c>
      <c r="S138">
        <f>IF($A138="","",IF($D138=1,"",Derived!L138))</f>
        <v/>
      </c>
      <c r="T138" s="19">
        <f>IF($D138=1,$Q138,"")</f>
        <v/>
      </c>
    </row>
    <row r="139">
      <c r="A139">
        <f>Derived!A139</f>
        <v/>
      </c>
      <c r="B139">
        <f>Derived!B139</f>
        <v/>
      </c>
      <c r="C139">
        <f>Derived!C139</f>
        <v/>
      </c>
      <c r="D139">
        <f>Derived!K139</f>
        <v/>
      </c>
      <c r="E139" s="16">
        <f>Derived!F139</f>
        <v/>
      </c>
      <c r="F139">
        <f>IF(OR($E139=""),"",MAX(0,MIN(1,(cfg_PBR_max-MIN($E139,cfg_PBR_max))/(cfg_PBR_max-cfg_PBR_floor))))</f>
        <v/>
      </c>
      <c r="G139" s="17">
        <f>Derived!H139</f>
        <v/>
      </c>
      <c r="H139">
        <f>IF(OR($G139=""),"",MAX(0,MIN(1,MIN($G139,cap_NetCashPct)/cap_NetCashPct)))</f>
        <v/>
      </c>
      <c r="I139" s="15">
        <f>Derived!J139</f>
        <v/>
      </c>
      <c r="J139">
        <f>IF(OR($I139=""),"",MAX(0,MIN(1,($I139-cfg_Liq_min)/(cfg_Liq_cap-cfg_Liq_min))))</f>
        <v/>
      </c>
      <c r="K139" s="17">
        <f>Fundamentals!P139</f>
        <v/>
      </c>
      <c r="L139" s="17">
        <f>Fundamentals!Q139</f>
        <v/>
      </c>
      <c r="M139">
        <f>IF(AND($K139="",$L139=""),"",MIN(1,IF($K139="",0,MIN($K139,cap_DivYield)/cap_DivYield)*0.5+IF($L139="",0,MIN($L139,cap_BuybackYield)/cap_BuybackYield)*0.5))</f>
        <v/>
      </c>
      <c r="N139">
        <f>IF($A139="","",AVERAGE(IF(Fundamentals!R139="",0,Fundamentals!R139),IF(Fundamentals!S139="",0,Fundamentals!S139),IF(Fundamentals!T139="",0,Fundamentals!T139)))</f>
        <v/>
      </c>
      <c r="O139">
        <f>IF($A139="","",MAX(0,MIN(1,$N139)))</f>
        <v/>
      </c>
      <c r="P139" s="18">
        <f>IF($A139="","",ROUND(w_PBR*$F139+w_NetCash*$H139+w_Liq*$J139+w_Return*$M139+w_GovAct*$O139,2))</f>
        <v/>
      </c>
      <c r="Q139" s="19">
        <f>IF($A139="","",$P139+(100000-ROW())/100000000)</f>
        <v/>
      </c>
      <c r="R139">
        <f>IF($A139="","",IF($D139&lt;&gt;1,"",RANK.EQ($Q139,$Q$3:$Q$202,0)))</f>
        <v/>
      </c>
      <c r="S139">
        <f>IF($A139="","",IF($D139=1,"",Derived!L139))</f>
        <v/>
      </c>
      <c r="T139" s="19">
        <f>IF($D139=1,$Q139,"")</f>
        <v/>
      </c>
    </row>
    <row r="140">
      <c r="A140">
        <f>Derived!A140</f>
        <v/>
      </c>
      <c r="B140">
        <f>Derived!B140</f>
        <v/>
      </c>
      <c r="C140">
        <f>Derived!C140</f>
        <v/>
      </c>
      <c r="D140">
        <f>Derived!K140</f>
        <v/>
      </c>
      <c r="E140" s="16">
        <f>Derived!F140</f>
        <v/>
      </c>
      <c r="F140">
        <f>IF(OR($E140=""),"",MAX(0,MIN(1,(cfg_PBR_max-MIN($E140,cfg_PBR_max))/(cfg_PBR_max-cfg_PBR_floor))))</f>
        <v/>
      </c>
      <c r="G140" s="17">
        <f>Derived!H140</f>
        <v/>
      </c>
      <c r="H140">
        <f>IF(OR($G140=""),"",MAX(0,MIN(1,MIN($G140,cap_NetCashPct)/cap_NetCashPct)))</f>
        <v/>
      </c>
      <c r="I140" s="15">
        <f>Derived!J140</f>
        <v/>
      </c>
      <c r="J140">
        <f>IF(OR($I140=""),"",MAX(0,MIN(1,($I140-cfg_Liq_min)/(cfg_Liq_cap-cfg_Liq_min))))</f>
        <v/>
      </c>
      <c r="K140" s="17">
        <f>Fundamentals!P140</f>
        <v/>
      </c>
      <c r="L140" s="17">
        <f>Fundamentals!Q140</f>
        <v/>
      </c>
      <c r="M140">
        <f>IF(AND($K140="",$L140=""),"",MIN(1,IF($K140="",0,MIN($K140,cap_DivYield)/cap_DivYield)*0.5+IF($L140="",0,MIN($L140,cap_BuybackYield)/cap_BuybackYield)*0.5))</f>
        <v/>
      </c>
      <c r="N140">
        <f>IF($A140="","",AVERAGE(IF(Fundamentals!R140="",0,Fundamentals!R140),IF(Fundamentals!S140="",0,Fundamentals!S140),IF(Fundamentals!T140="",0,Fundamentals!T140)))</f>
        <v/>
      </c>
      <c r="O140">
        <f>IF($A140="","",MAX(0,MIN(1,$N140)))</f>
        <v/>
      </c>
      <c r="P140" s="18">
        <f>IF($A140="","",ROUND(w_PBR*$F140+w_NetCash*$H140+w_Liq*$J140+w_Return*$M140+w_GovAct*$O140,2))</f>
        <v/>
      </c>
      <c r="Q140" s="19">
        <f>IF($A140="","",$P140+(100000-ROW())/100000000)</f>
        <v/>
      </c>
      <c r="R140">
        <f>IF($A140="","",IF($D140&lt;&gt;1,"",RANK.EQ($Q140,$Q$3:$Q$202,0)))</f>
        <v/>
      </c>
      <c r="S140">
        <f>IF($A140="","",IF($D140=1,"",Derived!L140))</f>
        <v/>
      </c>
      <c r="T140" s="19">
        <f>IF($D140=1,$Q140,"")</f>
        <v/>
      </c>
    </row>
    <row r="141">
      <c r="A141">
        <f>Derived!A141</f>
        <v/>
      </c>
      <c r="B141">
        <f>Derived!B141</f>
        <v/>
      </c>
      <c r="C141">
        <f>Derived!C141</f>
        <v/>
      </c>
      <c r="D141">
        <f>Derived!K141</f>
        <v/>
      </c>
      <c r="E141" s="16">
        <f>Derived!F141</f>
        <v/>
      </c>
      <c r="F141">
        <f>IF(OR($E141=""),"",MAX(0,MIN(1,(cfg_PBR_max-MIN($E141,cfg_PBR_max))/(cfg_PBR_max-cfg_PBR_floor))))</f>
        <v/>
      </c>
      <c r="G141" s="17">
        <f>Derived!H141</f>
        <v/>
      </c>
      <c r="H141">
        <f>IF(OR($G141=""),"",MAX(0,MIN(1,MIN($G141,cap_NetCashPct)/cap_NetCashPct)))</f>
        <v/>
      </c>
      <c r="I141" s="15">
        <f>Derived!J141</f>
        <v/>
      </c>
      <c r="J141">
        <f>IF(OR($I141=""),"",MAX(0,MIN(1,($I141-cfg_Liq_min)/(cfg_Liq_cap-cfg_Liq_min))))</f>
        <v/>
      </c>
      <c r="K141" s="17">
        <f>Fundamentals!P141</f>
        <v/>
      </c>
      <c r="L141" s="17">
        <f>Fundamentals!Q141</f>
        <v/>
      </c>
      <c r="M141">
        <f>IF(AND($K141="",$L141=""),"",MIN(1,IF($K141="",0,MIN($K141,cap_DivYield)/cap_DivYield)*0.5+IF($L141="",0,MIN($L141,cap_BuybackYield)/cap_BuybackYield)*0.5))</f>
        <v/>
      </c>
      <c r="N141">
        <f>IF($A141="","",AVERAGE(IF(Fundamentals!R141="",0,Fundamentals!R141),IF(Fundamentals!S141="",0,Fundamentals!S141),IF(Fundamentals!T141="",0,Fundamentals!T141)))</f>
        <v/>
      </c>
      <c r="O141">
        <f>IF($A141="","",MAX(0,MIN(1,$N141)))</f>
        <v/>
      </c>
      <c r="P141" s="18">
        <f>IF($A141="","",ROUND(w_PBR*$F141+w_NetCash*$H141+w_Liq*$J141+w_Return*$M141+w_GovAct*$O141,2))</f>
        <v/>
      </c>
      <c r="Q141" s="19">
        <f>IF($A141="","",$P141+(100000-ROW())/100000000)</f>
        <v/>
      </c>
      <c r="R141">
        <f>IF($A141="","",IF($D141&lt;&gt;1,"",RANK.EQ($Q141,$Q$3:$Q$202,0)))</f>
        <v/>
      </c>
      <c r="S141">
        <f>IF($A141="","",IF($D141=1,"",Derived!L141))</f>
        <v/>
      </c>
      <c r="T141" s="19">
        <f>IF($D141=1,$Q141,"")</f>
        <v/>
      </c>
    </row>
    <row r="142">
      <c r="A142">
        <f>Derived!A142</f>
        <v/>
      </c>
      <c r="B142">
        <f>Derived!B142</f>
        <v/>
      </c>
      <c r="C142">
        <f>Derived!C142</f>
        <v/>
      </c>
      <c r="D142">
        <f>Derived!K142</f>
        <v/>
      </c>
      <c r="E142" s="16">
        <f>Derived!F142</f>
        <v/>
      </c>
      <c r="F142">
        <f>IF(OR($E142=""),"",MAX(0,MIN(1,(cfg_PBR_max-MIN($E142,cfg_PBR_max))/(cfg_PBR_max-cfg_PBR_floor))))</f>
        <v/>
      </c>
      <c r="G142" s="17">
        <f>Derived!H142</f>
        <v/>
      </c>
      <c r="H142">
        <f>IF(OR($G142=""),"",MAX(0,MIN(1,MIN($G142,cap_NetCashPct)/cap_NetCashPct)))</f>
        <v/>
      </c>
      <c r="I142" s="15">
        <f>Derived!J142</f>
        <v/>
      </c>
      <c r="J142">
        <f>IF(OR($I142=""),"",MAX(0,MIN(1,($I142-cfg_Liq_min)/(cfg_Liq_cap-cfg_Liq_min))))</f>
        <v/>
      </c>
      <c r="K142" s="17">
        <f>Fundamentals!P142</f>
        <v/>
      </c>
      <c r="L142" s="17">
        <f>Fundamentals!Q142</f>
        <v/>
      </c>
      <c r="M142">
        <f>IF(AND($K142="",$L142=""),"",MIN(1,IF($K142="",0,MIN($K142,cap_DivYield)/cap_DivYield)*0.5+IF($L142="",0,MIN($L142,cap_BuybackYield)/cap_BuybackYield)*0.5))</f>
        <v/>
      </c>
      <c r="N142">
        <f>IF($A142="","",AVERAGE(IF(Fundamentals!R142="",0,Fundamentals!R142),IF(Fundamentals!S142="",0,Fundamentals!S142),IF(Fundamentals!T142="",0,Fundamentals!T142)))</f>
        <v/>
      </c>
      <c r="O142">
        <f>IF($A142="","",MAX(0,MIN(1,$N142)))</f>
        <v/>
      </c>
      <c r="P142" s="18">
        <f>IF($A142="","",ROUND(w_PBR*$F142+w_NetCash*$H142+w_Liq*$J142+w_Return*$M142+w_GovAct*$O142,2))</f>
        <v/>
      </c>
      <c r="Q142" s="19">
        <f>IF($A142="","",$P142+(100000-ROW())/100000000)</f>
        <v/>
      </c>
      <c r="R142">
        <f>IF($A142="","",IF($D142&lt;&gt;1,"",RANK.EQ($Q142,$Q$3:$Q$202,0)))</f>
        <v/>
      </c>
      <c r="S142">
        <f>IF($A142="","",IF($D142=1,"",Derived!L142))</f>
        <v/>
      </c>
      <c r="T142" s="19">
        <f>IF($D142=1,$Q142,"")</f>
        <v/>
      </c>
    </row>
    <row r="143">
      <c r="A143">
        <f>Derived!A143</f>
        <v/>
      </c>
      <c r="B143">
        <f>Derived!B143</f>
        <v/>
      </c>
      <c r="C143">
        <f>Derived!C143</f>
        <v/>
      </c>
      <c r="D143">
        <f>Derived!K143</f>
        <v/>
      </c>
      <c r="E143" s="16">
        <f>Derived!F143</f>
        <v/>
      </c>
      <c r="F143">
        <f>IF(OR($E143=""),"",MAX(0,MIN(1,(cfg_PBR_max-MIN($E143,cfg_PBR_max))/(cfg_PBR_max-cfg_PBR_floor))))</f>
        <v/>
      </c>
      <c r="G143" s="17">
        <f>Derived!H143</f>
        <v/>
      </c>
      <c r="H143">
        <f>IF(OR($G143=""),"",MAX(0,MIN(1,MIN($G143,cap_NetCashPct)/cap_NetCashPct)))</f>
        <v/>
      </c>
      <c r="I143" s="15">
        <f>Derived!J143</f>
        <v/>
      </c>
      <c r="J143">
        <f>IF(OR($I143=""),"",MAX(0,MIN(1,($I143-cfg_Liq_min)/(cfg_Liq_cap-cfg_Liq_min))))</f>
        <v/>
      </c>
      <c r="K143" s="17">
        <f>Fundamentals!P143</f>
        <v/>
      </c>
      <c r="L143" s="17">
        <f>Fundamentals!Q143</f>
        <v/>
      </c>
      <c r="M143">
        <f>IF(AND($K143="",$L143=""),"",MIN(1,IF($K143="",0,MIN($K143,cap_DivYield)/cap_DivYield)*0.5+IF($L143="",0,MIN($L143,cap_BuybackYield)/cap_BuybackYield)*0.5))</f>
        <v/>
      </c>
      <c r="N143">
        <f>IF($A143="","",AVERAGE(IF(Fundamentals!R143="",0,Fundamentals!R143),IF(Fundamentals!S143="",0,Fundamentals!S143),IF(Fundamentals!T143="",0,Fundamentals!T143)))</f>
        <v/>
      </c>
      <c r="O143">
        <f>IF($A143="","",MAX(0,MIN(1,$N143)))</f>
        <v/>
      </c>
      <c r="P143" s="18">
        <f>IF($A143="","",ROUND(w_PBR*$F143+w_NetCash*$H143+w_Liq*$J143+w_Return*$M143+w_GovAct*$O143,2))</f>
        <v/>
      </c>
      <c r="Q143" s="19">
        <f>IF($A143="","",$P143+(100000-ROW())/100000000)</f>
        <v/>
      </c>
      <c r="R143">
        <f>IF($A143="","",IF($D143&lt;&gt;1,"",RANK.EQ($Q143,$Q$3:$Q$202,0)))</f>
        <v/>
      </c>
      <c r="S143">
        <f>IF($A143="","",IF($D143=1,"",Derived!L143))</f>
        <v/>
      </c>
      <c r="T143" s="19">
        <f>IF($D143=1,$Q143,"")</f>
        <v/>
      </c>
    </row>
    <row r="144">
      <c r="A144">
        <f>Derived!A144</f>
        <v/>
      </c>
      <c r="B144">
        <f>Derived!B144</f>
        <v/>
      </c>
      <c r="C144">
        <f>Derived!C144</f>
        <v/>
      </c>
      <c r="D144">
        <f>Derived!K144</f>
        <v/>
      </c>
      <c r="E144" s="16">
        <f>Derived!F144</f>
        <v/>
      </c>
      <c r="F144">
        <f>IF(OR($E144=""),"",MAX(0,MIN(1,(cfg_PBR_max-MIN($E144,cfg_PBR_max))/(cfg_PBR_max-cfg_PBR_floor))))</f>
        <v/>
      </c>
      <c r="G144" s="17">
        <f>Derived!H144</f>
        <v/>
      </c>
      <c r="H144">
        <f>IF(OR($G144=""),"",MAX(0,MIN(1,MIN($G144,cap_NetCashPct)/cap_NetCashPct)))</f>
        <v/>
      </c>
      <c r="I144" s="15">
        <f>Derived!J144</f>
        <v/>
      </c>
      <c r="J144">
        <f>IF(OR($I144=""),"",MAX(0,MIN(1,($I144-cfg_Liq_min)/(cfg_Liq_cap-cfg_Liq_min))))</f>
        <v/>
      </c>
      <c r="K144" s="17">
        <f>Fundamentals!P144</f>
        <v/>
      </c>
      <c r="L144" s="17">
        <f>Fundamentals!Q144</f>
        <v/>
      </c>
      <c r="M144">
        <f>IF(AND($K144="",$L144=""),"",MIN(1,IF($K144="",0,MIN($K144,cap_DivYield)/cap_DivYield)*0.5+IF($L144="",0,MIN($L144,cap_BuybackYield)/cap_BuybackYield)*0.5))</f>
        <v/>
      </c>
      <c r="N144">
        <f>IF($A144="","",AVERAGE(IF(Fundamentals!R144="",0,Fundamentals!R144),IF(Fundamentals!S144="",0,Fundamentals!S144),IF(Fundamentals!T144="",0,Fundamentals!T144)))</f>
        <v/>
      </c>
      <c r="O144">
        <f>IF($A144="","",MAX(0,MIN(1,$N144)))</f>
        <v/>
      </c>
      <c r="P144" s="18">
        <f>IF($A144="","",ROUND(w_PBR*$F144+w_NetCash*$H144+w_Liq*$J144+w_Return*$M144+w_GovAct*$O144,2))</f>
        <v/>
      </c>
      <c r="Q144" s="19">
        <f>IF($A144="","",$P144+(100000-ROW())/100000000)</f>
        <v/>
      </c>
      <c r="R144">
        <f>IF($A144="","",IF($D144&lt;&gt;1,"",RANK.EQ($Q144,$Q$3:$Q$202,0)))</f>
        <v/>
      </c>
      <c r="S144">
        <f>IF($A144="","",IF($D144=1,"",Derived!L144))</f>
        <v/>
      </c>
      <c r="T144" s="19">
        <f>IF($D144=1,$Q144,"")</f>
        <v/>
      </c>
    </row>
    <row r="145">
      <c r="A145">
        <f>Derived!A145</f>
        <v/>
      </c>
      <c r="B145">
        <f>Derived!B145</f>
        <v/>
      </c>
      <c r="C145">
        <f>Derived!C145</f>
        <v/>
      </c>
      <c r="D145">
        <f>Derived!K145</f>
        <v/>
      </c>
      <c r="E145" s="16">
        <f>Derived!F145</f>
        <v/>
      </c>
      <c r="F145">
        <f>IF(OR($E145=""),"",MAX(0,MIN(1,(cfg_PBR_max-MIN($E145,cfg_PBR_max))/(cfg_PBR_max-cfg_PBR_floor))))</f>
        <v/>
      </c>
      <c r="G145" s="17">
        <f>Derived!H145</f>
        <v/>
      </c>
      <c r="H145">
        <f>IF(OR($G145=""),"",MAX(0,MIN(1,MIN($G145,cap_NetCashPct)/cap_NetCashPct)))</f>
        <v/>
      </c>
      <c r="I145" s="15">
        <f>Derived!J145</f>
        <v/>
      </c>
      <c r="J145">
        <f>IF(OR($I145=""),"",MAX(0,MIN(1,($I145-cfg_Liq_min)/(cfg_Liq_cap-cfg_Liq_min))))</f>
        <v/>
      </c>
      <c r="K145" s="17">
        <f>Fundamentals!P145</f>
        <v/>
      </c>
      <c r="L145" s="17">
        <f>Fundamentals!Q145</f>
        <v/>
      </c>
      <c r="M145">
        <f>IF(AND($K145="",$L145=""),"",MIN(1,IF($K145="",0,MIN($K145,cap_DivYield)/cap_DivYield)*0.5+IF($L145="",0,MIN($L145,cap_BuybackYield)/cap_BuybackYield)*0.5))</f>
        <v/>
      </c>
      <c r="N145">
        <f>IF($A145="","",AVERAGE(IF(Fundamentals!R145="",0,Fundamentals!R145),IF(Fundamentals!S145="",0,Fundamentals!S145),IF(Fundamentals!T145="",0,Fundamentals!T145)))</f>
        <v/>
      </c>
      <c r="O145">
        <f>IF($A145="","",MAX(0,MIN(1,$N145)))</f>
        <v/>
      </c>
      <c r="P145" s="18">
        <f>IF($A145="","",ROUND(w_PBR*$F145+w_NetCash*$H145+w_Liq*$J145+w_Return*$M145+w_GovAct*$O145,2))</f>
        <v/>
      </c>
      <c r="Q145" s="19">
        <f>IF($A145="","",$P145+(100000-ROW())/100000000)</f>
        <v/>
      </c>
      <c r="R145">
        <f>IF($A145="","",IF($D145&lt;&gt;1,"",RANK.EQ($Q145,$Q$3:$Q$202,0)))</f>
        <v/>
      </c>
      <c r="S145">
        <f>IF($A145="","",IF($D145=1,"",Derived!L145))</f>
        <v/>
      </c>
      <c r="T145" s="19">
        <f>IF($D145=1,$Q145,"")</f>
        <v/>
      </c>
    </row>
    <row r="146">
      <c r="A146">
        <f>Derived!A146</f>
        <v/>
      </c>
      <c r="B146">
        <f>Derived!B146</f>
        <v/>
      </c>
      <c r="C146">
        <f>Derived!C146</f>
        <v/>
      </c>
      <c r="D146">
        <f>Derived!K146</f>
        <v/>
      </c>
      <c r="E146" s="16">
        <f>Derived!F146</f>
        <v/>
      </c>
      <c r="F146">
        <f>IF(OR($E146=""),"",MAX(0,MIN(1,(cfg_PBR_max-MIN($E146,cfg_PBR_max))/(cfg_PBR_max-cfg_PBR_floor))))</f>
        <v/>
      </c>
      <c r="G146" s="17">
        <f>Derived!H146</f>
        <v/>
      </c>
      <c r="H146">
        <f>IF(OR($G146=""),"",MAX(0,MIN(1,MIN($G146,cap_NetCashPct)/cap_NetCashPct)))</f>
        <v/>
      </c>
      <c r="I146" s="15">
        <f>Derived!J146</f>
        <v/>
      </c>
      <c r="J146">
        <f>IF(OR($I146=""),"",MAX(0,MIN(1,($I146-cfg_Liq_min)/(cfg_Liq_cap-cfg_Liq_min))))</f>
        <v/>
      </c>
      <c r="K146" s="17">
        <f>Fundamentals!P146</f>
        <v/>
      </c>
      <c r="L146" s="17">
        <f>Fundamentals!Q146</f>
        <v/>
      </c>
      <c r="M146">
        <f>IF(AND($K146="",$L146=""),"",MIN(1,IF($K146="",0,MIN($K146,cap_DivYield)/cap_DivYield)*0.5+IF($L146="",0,MIN($L146,cap_BuybackYield)/cap_BuybackYield)*0.5))</f>
        <v/>
      </c>
      <c r="N146">
        <f>IF($A146="","",AVERAGE(IF(Fundamentals!R146="",0,Fundamentals!R146),IF(Fundamentals!S146="",0,Fundamentals!S146),IF(Fundamentals!T146="",0,Fundamentals!T146)))</f>
        <v/>
      </c>
      <c r="O146">
        <f>IF($A146="","",MAX(0,MIN(1,$N146)))</f>
        <v/>
      </c>
      <c r="P146" s="18">
        <f>IF($A146="","",ROUND(w_PBR*$F146+w_NetCash*$H146+w_Liq*$J146+w_Return*$M146+w_GovAct*$O146,2))</f>
        <v/>
      </c>
      <c r="Q146" s="19">
        <f>IF($A146="","",$P146+(100000-ROW())/100000000)</f>
        <v/>
      </c>
      <c r="R146">
        <f>IF($A146="","",IF($D146&lt;&gt;1,"",RANK.EQ($Q146,$Q$3:$Q$202,0)))</f>
        <v/>
      </c>
      <c r="S146">
        <f>IF($A146="","",IF($D146=1,"",Derived!L146))</f>
        <v/>
      </c>
      <c r="T146" s="19">
        <f>IF($D146=1,$Q146,"")</f>
        <v/>
      </c>
    </row>
    <row r="147">
      <c r="A147">
        <f>Derived!A147</f>
        <v/>
      </c>
      <c r="B147">
        <f>Derived!B147</f>
        <v/>
      </c>
      <c r="C147">
        <f>Derived!C147</f>
        <v/>
      </c>
      <c r="D147">
        <f>Derived!K147</f>
        <v/>
      </c>
      <c r="E147" s="16">
        <f>Derived!F147</f>
        <v/>
      </c>
      <c r="F147">
        <f>IF(OR($E147=""),"",MAX(0,MIN(1,(cfg_PBR_max-MIN($E147,cfg_PBR_max))/(cfg_PBR_max-cfg_PBR_floor))))</f>
        <v/>
      </c>
      <c r="G147" s="17">
        <f>Derived!H147</f>
        <v/>
      </c>
      <c r="H147">
        <f>IF(OR($G147=""),"",MAX(0,MIN(1,MIN($G147,cap_NetCashPct)/cap_NetCashPct)))</f>
        <v/>
      </c>
      <c r="I147" s="15">
        <f>Derived!J147</f>
        <v/>
      </c>
      <c r="J147">
        <f>IF(OR($I147=""),"",MAX(0,MIN(1,($I147-cfg_Liq_min)/(cfg_Liq_cap-cfg_Liq_min))))</f>
        <v/>
      </c>
      <c r="K147" s="17">
        <f>Fundamentals!P147</f>
        <v/>
      </c>
      <c r="L147" s="17">
        <f>Fundamentals!Q147</f>
        <v/>
      </c>
      <c r="M147">
        <f>IF(AND($K147="",$L147=""),"",MIN(1,IF($K147="",0,MIN($K147,cap_DivYield)/cap_DivYield)*0.5+IF($L147="",0,MIN($L147,cap_BuybackYield)/cap_BuybackYield)*0.5))</f>
        <v/>
      </c>
      <c r="N147">
        <f>IF($A147="","",AVERAGE(IF(Fundamentals!R147="",0,Fundamentals!R147),IF(Fundamentals!S147="",0,Fundamentals!S147),IF(Fundamentals!T147="",0,Fundamentals!T147)))</f>
        <v/>
      </c>
      <c r="O147">
        <f>IF($A147="","",MAX(0,MIN(1,$N147)))</f>
        <v/>
      </c>
      <c r="P147" s="18">
        <f>IF($A147="","",ROUND(w_PBR*$F147+w_NetCash*$H147+w_Liq*$J147+w_Return*$M147+w_GovAct*$O147,2))</f>
        <v/>
      </c>
      <c r="Q147" s="19">
        <f>IF($A147="","",$P147+(100000-ROW())/100000000)</f>
        <v/>
      </c>
      <c r="R147">
        <f>IF($A147="","",IF($D147&lt;&gt;1,"",RANK.EQ($Q147,$Q$3:$Q$202,0)))</f>
        <v/>
      </c>
      <c r="S147">
        <f>IF($A147="","",IF($D147=1,"",Derived!L147))</f>
        <v/>
      </c>
      <c r="T147" s="19">
        <f>IF($D147=1,$Q147,"")</f>
        <v/>
      </c>
    </row>
    <row r="148">
      <c r="A148">
        <f>Derived!A148</f>
        <v/>
      </c>
      <c r="B148">
        <f>Derived!B148</f>
        <v/>
      </c>
      <c r="C148">
        <f>Derived!C148</f>
        <v/>
      </c>
      <c r="D148">
        <f>Derived!K148</f>
        <v/>
      </c>
      <c r="E148" s="16">
        <f>Derived!F148</f>
        <v/>
      </c>
      <c r="F148">
        <f>IF(OR($E148=""),"",MAX(0,MIN(1,(cfg_PBR_max-MIN($E148,cfg_PBR_max))/(cfg_PBR_max-cfg_PBR_floor))))</f>
        <v/>
      </c>
      <c r="G148" s="17">
        <f>Derived!H148</f>
        <v/>
      </c>
      <c r="H148">
        <f>IF(OR($G148=""),"",MAX(0,MIN(1,MIN($G148,cap_NetCashPct)/cap_NetCashPct)))</f>
        <v/>
      </c>
      <c r="I148" s="15">
        <f>Derived!J148</f>
        <v/>
      </c>
      <c r="J148">
        <f>IF(OR($I148=""),"",MAX(0,MIN(1,($I148-cfg_Liq_min)/(cfg_Liq_cap-cfg_Liq_min))))</f>
        <v/>
      </c>
      <c r="K148" s="17">
        <f>Fundamentals!P148</f>
        <v/>
      </c>
      <c r="L148" s="17">
        <f>Fundamentals!Q148</f>
        <v/>
      </c>
      <c r="M148">
        <f>IF(AND($K148="",$L148=""),"",MIN(1,IF($K148="",0,MIN($K148,cap_DivYield)/cap_DivYield)*0.5+IF($L148="",0,MIN($L148,cap_BuybackYield)/cap_BuybackYield)*0.5))</f>
        <v/>
      </c>
      <c r="N148">
        <f>IF($A148="","",AVERAGE(IF(Fundamentals!R148="",0,Fundamentals!R148),IF(Fundamentals!S148="",0,Fundamentals!S148),IF(Fundamentals!T148="",0,Fundamentals!T148)))</f>
        <v/>
      </c>
      <c r="O148">
        <f>IF($A148="","",MAX(0,MIN(1,$N148)))</f>
        <v/>
      </c>
      <c r="P148" s="18">
        <f>IF($A148="","",ROUND(w_PBR*$F148+w_NetCash*$H148+w_Liq*$J148+w_Return*$M148+w_GovAct*$O148,2))</f>
        <v/>
      </c>
      <c r="Q148" s="19">
        <f>IF($A148="","",$P148+(100000-ROW())/100000000)</f>
        <v/>
      </c>
      <c r="R148">
        <f>IF($A148="","",IF($D148&lt;&gt;1,"",RANK.EQ($Q148,$Q$3:$Q$202,0)))</f>
        <v/>
      </c>
      <c r="S148">
        <f>IF($A148="","",IF($D148=1,"",Derived!L148))</f>
        <v/>
      </c>
      <c r="T148" s="19">
        <f>IF($D148=1,$Q148,"")</f>
        <v/>
      </c>
    </row>
    <row r="149">
      <c r="A149">
        <f>Derived!A149</f>
        <v/>
      </c>
      <c r="B149">
        <f>Derived!B149</f>
        <v/>
      </c>
      <c r="C149">
        <f>Derived!C149</f>
        <v/>
      </c>
      <c r="D149">
        <f>Derived!K149</f>
        <v/>
      </c>
      <c r="E149" s="16">
        <f>Derived!F149</f>
        <v/>
      </c>
      <c r="F149">
        <f>IF(OR($E149=""),"",MAX(0,MIN(1,(cfg_PBR_max-MIN($E149,cfg_PBR_max))/(cfg_PBR_max-cfg_PBR_floor))))</f>
        <v/>
      </c>
      <c r="G149" s="17">
        <f>Derived!H149</f>
        <v/>
      </c>
      <c r="H149">
        <f>IF(OR($G149=""),"",MAX(0,MIN(1,MIN($G149,cap_NetCashPct)/cap_NetCashPct)))</f>
        <v/>
      </c>
      <c r="I149" s="15">
        <f>Derived!J149</f>
        <v/>
      </c>
      <c r="J149">
        <f>IF(OR($I149=""),"",MAX(0,MIN(1,($I149-cfg_Liq_min)/(cfg_Liq_cap-cfg_Liq_min))))</f>
        <v/>
      </c>
      <c r="K149" s="17">
        <f>Fundamentals!P149</f>
        <v/>
      </c>
      <c r="L149" s="17">
        <f>Fundamentals!Q149</f>
        <v/>
      </c>
      <c r="M149">
        <f>IF(AND($K149="",$L149=""),"",MIN(1,IF($K149="",0,MIN($K149,cap_DivYield)/cap_DivYield)*0.5+IF($L149="",0,MIN($L149,cap_BuybackYield)/cap_BuybackYield)*0.5))</f>
        <v/>
      </c>
      <c r="N149">
        <f>IF($A149="","",AVERAGE(IF(Fundamentals!R149="",0,Fundamentals!R149),IF(Fundamentals!S149="",0,Fundamentals!S149),IF(Fundamentals!T149="",0,Fundamentals!T149)))</f>
        <v/>
      </c>
      <c r="O149">
        <f>IF($A149="","",MAX(0,MIN(1,$N149)))</f>
        <v/>
      </c>
      <c r="P149" s="18">
        <f>IF($A149="","",ROUND(w_PBR*$F149+w_NetCash*$H149+w_Liq*$J149+w_Return*$M149+w_GovAct*$O149,2))</f>
        <v/>
      </c>
      <c r="Q149" s="19">
        <f>IF($A149="","",$P149+(100000-ROW())/100000000)</f>
        <v/>
      </c>
      <c r="R149">
        <f>IF($A149="","",IF($D149&lt;&gt;1,"",RANK.EQ($Q149,$Q$3:$Q$202,0)))</f>
        <v/>
      </c>
      <c r="S149">
        <f>IF($A149="","",IF($D149=1,"",Derived!L149))</f>
        <v/>
      </c>
      <c r="T149" s="19">
        <f>IF($D149=1,$Q149,"")</f>
        <v/>
      </c>
    </row>
    <row r="150">
      <c r="A150">
        <f>Derived!A150</f>
        <v/>
      </c>
      <c r="B150">
        <f>Derived!B150</f>
        <v/>
      </c>
      <c r="C150">
        <f>Derived!C150</f>
        <v/>
      </c>
      <c r="D150">
        <f>Derived!K150</f>
        <v/>
      </c>
      <c r="E150" s="16">
        <f>Derived!F150</f>
        <v/>
      </c>
      <c r="F150">
        <f>IF(OR($E150=""),"",MAX(0,MIN(1,(cfg_PBR_max-MIN($E150,cfg_PBR_max))/(cfg_PBR_max-cfg_PBR_floor))))</f>
        <v/>
      </c>
      <c r="G150" s="17">
        <f>Derived!H150</f>
        <v/>
      </c>
      <c r="H150">
        <f>IF(OR($G150=""),"",MAX(0,MIN(1,MIN($G150,cap_NetCashPct)/cap_NetCashPct)))</f>
        <v/>
      </c>
      <c r="I150" s="15">
        <f>Derived!J150</f>
        <v/>
      </c>
      <c r="J150">
        <f>IF(OR($I150=""),"",MAX(0,MIN(1,($I150-cfg_Liq_min)/(cfg_Liq_cap-cfg_Liq_min))))</f>
        <v/>
      </c>
      <c r="K150" s="17">
        <f>Fundamentals!P150</f>
        <v/>
      </c>
      <c r="L150" s="17">
        <f>Fundamentals!Q150</f>
        <v/>
      </c>
      <c r="M150">
        <f>IF(AND($K150="",$L150=""),"",MIN(1,IF($K150="",0,MIN($K150,cap_DivYield)/cap_DivYield)*0.5+IF($L150="",0,MIN($L150,cap_BuybackYield)/cap_BuybackYield)*0.5))</f>
        <v/>
      </c>
      <c r="N150">
        <f>IF($A150="","",AVERAGE(IF(Fundamentals!R150="",0,Fundamentals!R150),IF(Fundamentals!S150="",0,Fundamentals!S150),IF(Fundamentals!T150="",0,Fundamentals!T150)))</f>
        <v/>
      </c>
      <c r="O150">
        <f>IF($A150="","",MAX(0,MIN(1,$N150)))</f>
        <v/>
      </c>
      <c r="P150" s="18">
        <f>IF($A150="","",ROUND(w_PBR*$F150+w_NetCash*$H150+w_Liq*$J150+w_Return*$M150+w_GovAct*$O150,2))</f>
        <v/>
      </c>
      <c r="Q150" s="19">
        <f>IF($A150="","",$P150+(100000-ROW())/100000000)</f>
        <v/>
      </c>
      <c r="R150">
        <f>IF($A150="","",IF($D150&lt;&gt;1,"",RANK.EQ($Q150,$Q$3:$Q$202,0)))</f>
        <v/>
      </c>
      <c r="S150">
        <f>IF($A150="","",IF($D150=1,"",Derived!L150))</f>
        <v/>
      </c>
      <c r="T150" s="19">
        <f>IF($D150=1,$Q150,"")</f>
        <v/>
      </c>
    </row>
    <row r="151">
      <c r="A151">
        <f>Derived!A151</f>
        <v/>
      </c>
      <c r="B151">
        <f>Derived!B151</f>
        <v/>
      </c>
      <c r="C151">
        <f>Derived!C151</f>
        <v/>
      </c>
      <c r="D151">
        <f>Derived!K151</f>
        <v/>
      </c>
      <c r="E151" s="16">
        <f>Derived!F151</f>
        <v/>
      </c>
      <c r="F151">
        <f>IF(OR($E151=""),"",MAX(0,MIN(1,(cfg_PBR_max-MIN($E151,cfg_PBR_max))/(cfg_PBR_max-cfg_PBR_floor))))</f>
        <v/>
      </c>
      <c r="G151" s="17">
        <f>Derived!H151</f>
        <v/>
      </c>
      <c r="H151">
        <f>IF(OR($G151=""),"",MAX(0,MIN(1,MIN($G151,cap_NetCashPct)/cap_NetCashPct)))</f>
        <v/>
      </c>
      <c r="I151" s="15">
        <f>Derived!J151</f>
        <v/>
      </c>
      <c r="J151">
        <f>IF(OR($I151=""),"",MAX(0,MIN(1,($I151-cfg_Liq_min)/(cfg_Liq_cap-cfg_Liq_min))))</f>
        <v/>
      </c>
      <c r="K151" s="17">
        <f>Fundamentals!P151</f>
        <v/>
      </c>
      <c r="L151" s="17">
        <f>Fundamentals!Q151</f>
        <v/>
      </c>
      <c r="M151">
        <f>IF(AND($K151="",$L151=""),"",MIN(1,IF($K151="",0,MIN($K151,cap_DivYield)/cap_DivYield)*0.5+IF($L151="",0,MIN($L151,cap_BuybackYield)/cap_BuybackYield)*0.5))</f>
        <v/>
      </c>
      <c r="N151">
        <f>IF($A151="","",AVERAGE(IF(Fundamentals!R151="",0,Fundamentals!R151),IF(Fundamentals!S151="",0,Fundamentals!S151),IF(Fundamentals!T151="",0,Fundamentals!T151)))</f>
        <v/>
      </c>
      <c r="O151">
        <f>IF($A151="","",MAX(0,MIN(1,$N151)))</f>
        <v/>
      </c>
      <c r="P151" s="18">
        <f>IF($A151="","",ROUND(w_PBR*$F151+w_NetCash*$H151+w_Liq*$J151+w_Return*$M151+w_GovAct*$O151,2))</f>
        <v/>
      </c>
      <c r="Q151" s="19">
        <f>IF($A151="","",$P151+(100000-ROW())/100000000)</f>
        <v/>
      </c>
      <c r="R151">
        <f>IF($A151="","",IF($D151&lt;&gt;1,"",RANK.EQ($Q151,$Q$3:$Q$202,0)))</f>
        <v/>
      </c>
      <c r="S151">
        <f>IF($A151="","",IF($D151=1,"",Derived!L151))</f>
        <v/>
      </c>
      <c r="T151" s="19">
        <f>IF($D151=1,$Q151,"")</f>
        <v/>
      </c>
    </row>
    <row r="152">
      <c r="A152">
        <f>Derived!A152</f>
        <v/>
      </c>
      <c r="B152">
        <f>Derived!B152</f>
        <v/>
      </c>
      <c r="C152">
        <f>Derived!C152</f>
        <v/>
      </c>
      <c r="D152">
        <f>Derived!K152</f>
        <v/>
      </c>
      <c r="E152" s="16">
        <f>Derived!F152</f>
        <v/>
      </c>
      <c r="F152">
        <f>IF(OR($E152=""),"",MAX(0,MIN(1,(cfg_PBR_max-MIN($E152,cfg_PBR_max))/(cfg_PBR_max-cfg_PBR_floor))))</f>
        <v/>
      </c>
      <c r="G152" s="17">
        <f>Derived!H152</f>
        <v/>
      </c>
      <c r="H152">
        <f>IF(OR($G152=""),"",MAX(0,MIN(1,MIN($G152,cap_NetCashPct)/cap_NetCashPct)))</f>
        <v/>
      </c>
      <c r="I152" s="15">
        <f>Derived!J152</f>
        <v/>
      </c>
      <c r="J152">
        <f>IF(OR($I152=""),"",MAX(0,MIN(1,($I152-cfg_Liq_min)/(cfg_Liq_cap-cfg_Liq_min))))</f>
        <v/>
      </c>
      <c r="K152" s="17">
        <f>Fundamentals!P152</f>
        <v/>
      </c>
      <c r="L152" s="17">
        <f>Fundamentals!Q152</f>
        <v/>
      </c>
      <c r="M152">
        <f>IF(AND($K152="",$L152=""),"",MIN(1,IF($K152="",0,MIN($K152,cap_DivYield)/cap_DivYield)*0.5+IF($L152="",0,MIN($L152,cap_BuybackYield)/cap_BuybackYield)*0.5))</f>
        <v/>
      </c>
      <c r="N152">
        <f>IF($A152="","",AVERAGE(IF(Fundamentals!R152="",0,Fundamentals!R152),IF(Fundamentals!S152="",0,Fundamentals!S152),IF(Fundamentals!T152="",0,Fundamentals!T152)))</f>
        <v/>
      </c>
      <c r="O152">
        <f>IF($A152="","",MAX(0,MIN(1,$N152)))</f>
        <v/>
      </c>
      <c r="P152" s="18">
        <f>IF($A152="","",ROUND(w_PBR*$F152+w_NetCash*$H152+w_Liq*$J152+w_Return*$M152+w_GovAct*$O152,2))</f>
        <v/>
      </c>
      <c r="Q152" s="19">
        <f>IF($A152="","",$P152+(100000-ROW())/100000000)</f>
        <v/>
      </c>
      <c r="R152">
        <f>IF($A152="","",IF($D152&lt;&gt;1,"",RANK.EQ($Q152,$Q$3:$Q$202,0)))</f>
        <v/>
      </c>
      <c r="S152">
        <f>IF($A152="","",IF($D152=1,"",Derived!L152))</f>
        <v/>
      </c>
      <c r="T152" s="19">
        <f>IF($D152=1,$Q152,"")</f>
        <v/>
      </c>
    </row>
    <row r="153">
      <c r="A153">
        <f>Derived!A153</f>
        <v/>
      </c>
      <c r="B153">
        <f>Derived!B153</f>
        <v/>
      </c>
      <c r="C153">
        <f>Derived!C153</f>
        <v/>
      </c>
      <c r="D153">
        <f>Derived!K153</f>
        <v/>
      </c>
      <c r="E153" s="16">
        <f>Derived!F153</f>
        <v/>
      </c>
      <c r="F153">
        <f>IF(OR($E153=""),"",MAX(0,MIN(1,(cfg_PBR_max-MIN($E153,cfg_PBR_max))/(cfg_PBR_max-cfg_PBR_floor))))</f>
        <v/>
      </c>
      <c r="G153" s="17">
        <f>Derived!H153</f>
        <v/>
      </c>
      <c r="H153">
        <f>IF(OR($G153=""),"",MAX(0,MIN(1,MIN($G153,cap_NetCashPct)/cap_NetCashPct)))</f>
        <v/>
      </c>
      <c r="I153" s="15">
        <f>Derived!J153</f>
        <v/>
      </c>
      <c r="J153">
        <f>IF(OR($I153=""),"",MAX(0,MIN(1,($I153-cfg_Liq_min)/(cfg_Liq_cap-cfg_Liq_min))))</f>
        <v/>
      </c>
      <c r="K153" s="17">
        <f>Fundamentals!P153</f>
        <v/>
      </c>
      <c r="L153" s="17">
        <f>Fundamentals!Q153</f>
        <v/>
      </c>
      <c r="M153">
        <f>IF(AND($K153="",$L153=""),"",MIN(1,IF($K153="",0,MIN($K153,cap_DivYield)/cap_DivYield)*0.5+IF($L153="",0,MIN($L153,cap_BuybackYield)/cap_BuybackYield)*0.5))</f>
        <v/>
      </c>
      <c r="N153">
        <f>IF($A153="","",AVERAGE(IF(Fundamentals!R153="",0,Fundamentals!R153),IF(Fundamentals!S153="",0,Fundamentals!S153),IF(Fundamentals!T153="",0,Fundamentals!T153)))</f>
        <v/>
      </c>
      <c r="O153">
        <f>IF($A153="","",MAX(0,MIN(1,$N153)))</f>
        <v/>
      </c>
      <c r="P153" s="18">
        <f>IF($A153="","",ROUND(w_PBR*$F153+w_NetCash*$H153+w_Liq*$J153+w_Return*$M153+w_GovAct*$O153,2))</f>
        <v/>
      </c>
      <c r="Q153" s="19">
        <f>IF($A153="","",$P153+(100000-ROW())/100000000)</f>
        <v/>
      </c>
      <c r="R153">
        <f>IF($A153="","",IF($D153&lt;&gt;1,"",RANK.EQ($Q153,$Q$3:$Q$202,0)))</f>
        <v/>
      </c>
      <c r="S153">
        <f>IF($A153="","",IF($D153=1,"",Derived!L153))</f>
        <v/>
      </c>
      <c r="T153" s="19">
        <f>IF($D153=1,$Q153,"")</f>
        <v/>
      </c>
    </row>
    <row r="154">
      <c r="A154">
        <f>Derived!A154</f>
        <v/>
      </c>
      <c r="B154">
        <f>Derived!B154</f>
        <v/>
      </c>
      <c r="C154">
        <f>Derived!C154</f>
        <v/>
      </c>
      <c r="D154">
        <f>Derived!K154</f>
        <v/>
      </c>
      <c r="E154" s="16">
        <f>Derived!F154</f>
        <v/>
      </c>
      <c r="F154">
        <f>IF(OR($E154=""),"",MAX(0,MIN(1,(cfg_PBR_max-MIN($E154,cfg_PBR_max))/(cfg_PBR_max-cfg_PBR_floor))))</f>
        <v/>
      </c>
      <c r="G154" s="17">
        <f>Derived!H154</f>
        <v/>
      </c>
      <c r="H154">
        <f>IF(OR($G154=""),"",MAX(0,MIN(1,MIN($G154,cap_NetCashPct)/cap_NetCashPct)))</f>
        <v/>
      </c>
      <c r="I154" s="15">
        <f>Derived!J154</f>
        <v/>
      </c>
      <c r="J154">
        <f>IF(OR($I154=""),"",MAX(0,MIN(1,($I154-cfg_Liq_min)/(cfg_Liq_cap-cfg_Liq_min))))</f>
        <v/>
      </c>
      <c r="K154" s="17">
        <f>Fundamentals!P154</f>
        <v/>
      </c>
      <c r="L154" s="17">
        <f>Fundamentals!Q154</f>
        <v/>
      </c>
      <c r="M154">
        <f>IF(AND($K154="",$L154=""),"",MIN(1,IF($K154="",0,MIN($K154,cap_DivYield)/cap_DivYield)*0.5+IF($L154="",0,MIN($L154,cap_BuybackYield)/cap_BuybackYield)*0.5))</f>
        <v/>
      </c>
      <c r="N154">
        <f>IF($A154="","",AVERAGE(IF(Fundamentals!R154="",0,Fundamentals!R154),IF(Fundamentals!S154="",0,Fundamentals!S154),IF(Fundamentals!T154="",0,Fundamentals!T154)))</f>
        <v/>
      </c>
      <c r="O154">
        <f>IF($A154="","",MAX(0,MIN(1,$N154)))</f>
        <v/>
      </c>
      <c r="P154" s="18">
        <f>IF($A154="","",ROUND(w_PBR*$F154+w_NetCash*$H154+w_Liq*$J154+w_Return*$M154+w_GovAct*$O154,2))</f>
        <v/>
      </c>
      <c r="Q154" s="19">
        <f>IF($A154="","",$P154+(100000-ROW())/100000000)</f>
        <v/>
      </c>
      <c r="R154">
        <f>IF($A154="","",IF($D154&lt;&gt;1,"",RANK.EQ($Q154,$Q$3:$Q$202,0)))</f>
        <v/>
      </c>
      <c r="S154">
        <f>IF($A154="","",IF($D154=1,"",Derived!L154))</f>
        <v/>
      </c>
      <c r="T154" s="19">
        <f>IF($D154=1,$Q154,"")</f>
        <v/>
      </c>
    </row>
    <row r="155">
      <c r="A155">
        <f>Derived!A155</f>
        <v/>
      </c>
      <c r="B155">
        <f>Derived!B155</f>
        <v/>
      </c>
      <c r="C155">
        <f>Derived!C155</f>
        <v/>
      </c>
      <c r="D155">
        <f>Derived!K155</f>
        <v/>
      </c>
      <c r="E155" s="16">
        <f>Derived!F155</f>
        <v/>
      </c>
      <c r="F155">
        <f>IF(OR($E155=""),"",MAX(0,MIN(1,(cfg_PBR_max-MIN($E155,cfg_PBR_max))/(cfg_PBR_max-cfg_PBR_floor))))</f>
        <v/>
      </c>
      <c r="G155" s="17">
        <f>Derived!H155</f>
        <v/>
      </c>
      <c r="H155">
        <f>IF(OR($G155=""),"",MAX(0,MIN(1,MIN($G155,cap_NetCashPct)/cap_NetCashPct)))</f>
        <v/>
      </c>
      <c r="I155" s="15">
        <f>Derived!J155</f>
        <v/>
      </c>
      <c r="J155">
        <f>IF(OR($I155=""),"",MAX(0,MIN(1,($I155-cfg_Liq_min)/(cfg_Liq_cap-cfg_Liq_min))))</f>
        <v/>
      </c>
      <c r="K155" s="17">
        <f>Fundamentals!P155</f>
        <v/>
      </c>
      <c r="L155" s="17">
        <f>Fundamentals!Q155</f>
        <v/>
      </c>
      <c r="M155">
        <f>IF(AND($K155="",$L155=""),"",MIN(1,IF($K155="",0,MIN($K155,cap_DivYield)/cap_DivYield)*0.5+IF($L155="",0,MIN($L155,cap_BuybackYield)/cap_BuybackYield)*0.5))</f>
        <v/>
      </c>
      <c r="N155">
        <f>IF($A155="","",AVERAGE(IF(Fundamentals!R155="",0,Fundamentals!R155),IF(Fundamentals!S155="",0,Fundamentals!S155),IF(Fundamentals!T155="",0,Fundamentals!T155)))</f>
        <v/>
      </c>
      <c r="O155">
        <f>IF($A155="","",MAX(0,MIN(1,$N155)))</f>
        <v/>
      </c>
      <c r="P155" s="18">
        <f>IF($A155="","",ROUND(w_PBR*$F155+w_NetCash*$H155+w_Liq*$J155+w_Return*$M155+w_GovAct*$O155,2))</f>
        <v/>
      </c>
      <c r="Q155" s="19">
        <f>IF($A155="","",$P155+(100000-ROW())/100000000)</f>
        <v/>
      </c>
      <c r="R155">
        <f>IF($A155="","",IF($D155&lt;&gt;1,"",RANK.EQ($Q155,$Q$3:$Q$202,0)))</f>
        <v/>
      </c>
      <c r="S155">
        <f>IF($A155="","",IF($D155=1,"",Derived!L155))</f>
        <v/>
      </c>
      <c r="T155" s="19">
        <f>IF($D155=1,$Q155,"")</f>
        <v/>
      </c>
    </row>
    <row r="156">
      <c r="A156">
        <f>Derived!A156</f>
        <v/>
      </c>
      <c r="B156">
        <f>Derived!B156</f>
        <v/>
      </c>
      <c r="C156">
        <f>Derived!C156</f>
        <v/>
      </c>
      <c r="D156">
        <f>Derived!K156</f>
        <v/>
      </c>
      <c r="E156" s="16">
        <f>Derived!F156</f>
        <v/>
      </c>
      <c r="F156">
        <f>IF(OR($E156=""),"",MAX(0,MIN(1,(cfg_PBR_max-MIN($E156,cfg_PBR_max))/(cfg_PBR_max-cfg_PBR_floor))))</f>
        <v/>
      </c>
      <c r="G156" s="17">
        <f>Derived!H156</f>
        <v/>
      </c>
      <c r="H156">
        <f>IF(OR($G156=""),"",MAX(0,MIN(1,MIN($G156,cap_NetCashPct)/cap_NetCashPct)))</f>
        <v/>
      </c>
      <c r="I156" s="15">
        <f>Derived!J156</f>
        <v/>
      </c>
      <c r="J156">
        <f>IF(OR($I156=""),"",MAX(0,MIN(1,($I156-cfg_Liq_min)/(cfg_Liq_cap-cfg_Liq_min))))</f>
        <v/>
      </c>
      <c r="K156" s="17">
        <f>Fundamentals!P156</f>
        <v/>
      </c>
      <c r="L156" s="17">
        <f>Fundamentals!Q156</f>
        <v/>
      </c>
      <c r="M156">
        <f>IF(AND($K156="",$L156=""),"",MIN(1,IF($K156="",0,MIN($K156,cap_DivYield)/cap_DivYield)*0.5+IF($L156="",0,MIN($L156,cap_BuybackYield)/cap_BuybackYield)*0.5))</f>
        <v/>
      </c>
      <c r="N156">
        <f>IF($A156="","",AVERAGE(IF(Fundamentals!R156="",0,Fundamentals!R156),IF(Fundamentals!S156="",0,Fundamentals!S156),IF(Fundamentals!T156="",0,Fundamentals!T156)))</f>
        <v/>
      </c>
      <c r="O156">
        <f>IF($A156="","",MAX(0,MIN(1,$N156)))</f>
        <v/>
      </c>
      <c r="P156" s="18">
        <f>IF($A156="","",ROUND(w_PBR*$F156+w_NetCash*$H156+w_Liq*$J156+w_Return*$M156+w_GovAct*$O156,2))</f>
        <v/>
      </c>
      <c r="Q156" s="19">
        <f>IF($A156="","",$P156+(100000-ROW())/100000000)</f>
        <v/>
      </c>
      <c r="R156">
        <f>IF($A156="","",IF($D156&lt;&gt;1,"",RANK.EQ($Q156,$Q$3:$Q$202,0)))</f>
        <v/>
      </c>
      <c r="S156">
        <f>IF($A156="","",IF($D156=1,"",Derived!L156))</f>
        <v/>
      </c>
      <c r="T156" s="19">
        <f>IF($D156=1,$Q156,"")</f>
        <v/>
      </c>
    </row>
    <row r="157">
      <c r="A157">
        <f>Derived!A157</f>
        <v/>
      </c>
      <c r="B157">
        <f>Derived!B157</f>
        <v/>
      </c>
      <c r="C157">
        <f>Derived!C157</f>
        <v/>
      </c>
      <c r="D157">
        <f>Derived!K157</f>
        <v/>
      </c>
      <c r="E157" s="16">
        <f>Derived!F157</f>
        <v/>
      </c>
      <c r="F157">
        <f>IF(OR($E157=""),"",MAX(0,MIN(1,(cfg_PBR_max-MIN($E157,cfg_PBR_max))/(cfg_PBR_max-cfg_PBR_floor))))</f>
        <v/>
      </c>
      <c r="G157" s="17">
        <f>Derived!H157</f>
        <v/>
      </c>
      <c r="H157">
        <f>IF(OR($G157=""),"",MAX(0,MIN(1,MIN($G157,cap_NetCashPct)/cap_NetCashPct)))</f>
        <v/>
      </c>
      <c r="I157" s="15">
        <f>Derived!J157</f>
        <v/>
      </c>
      <c r="J157">
        <f>IF(OR($I157=""),"",MAX(0,MIN(1,($I157-cfg_Liq_min)/(cfg_Liq_cap-cfg_Liq_min))))</f>
        <v/>
      </c>
      <c r="K157" s="17">
        <f>Fundamentals!P157</f>
        <v/>
      </c>
      <c r="L157" s="17">
        <f>Fundamentals!Q157</f>
        <v/>
      </c>
      <c r="M157">
        <f>IF(AND($K157="",$L157=""),"",MIN(1,IF($K157="",0,MIN($K157,cap_DivYield)/cap_DivYield)*0.5+IF($L157="",0,MIN($L157,cap_BuybackYield)/cap_BuybackYield)*0.5))</f>
        <v/>
      </c>
      <c r="N157">
        <f>IF($A157="","",AVERAGE(IF(Fundamentals!R157="",0,Fundamentals!R157),IF(Fundamentals!S157="",0,Fundamentals!S157),IF(Fundamentals!T157="",0,Fundamentals!T157)))</f>
        <v/>
      </c>
      <c r="O157">
        <f>IF($A157="","",MAX(0,MIN(1,$N157)))</f>
        <v/>
      </c>
      <c r="P157" s="18">
        <f>IF($A157="","",ROUND(w_PBR*$F157+w_NetCash*$H157+w_Liq*$J157+w_Return*$M157+w_GovAct*$O157,2))</f>
        <v/>
      </c>
      <c r="Q157" s="19">
        <f>IF($A157="","",$P157+(100000-ROW())/100000000)</f>
        <v/>
      </c>
      <c r="R157">
        <f>IF($A157="","",IF($D157&lt;&gt;1,"",RANK.EQ($Q157,$Q$3:$Q$202,0)))</f>
        <v/>
      </c>
      <c r="S157">
        <f>IF($A157="","",IF($D157=1,"",Derived!L157))</f>
        <v/>
      </c>
      <c r="T157" s="19">
        <f>IF($D157=1,$Q157,"")</f>
        <v/>
      </c>
    </row>
    <row r="158">
      <c r="A158">
        <f>Derived!A158</f>
        <v/>
      </c>
      <c r="B158">
        <f>Derived!B158</f>
        <v/>
      </c>
      <c r="C158">
        <f>Derived!C158</f>
        <v/>
      </c>
      <c r="D158">
        <f>Derived!K158</f>
        <v/>
      </c>
      <c r="E158" s="16">
        <f>Derived!F158</f>
        <v/>
      </c>
      <c r="F158">
        <f>IF(OR($E158=""),"",MAX(0,MIN(1,(cfg_PBR_max-MIN($E158,cfg_PBR_max))/(cfg_PBR_max-cfg_PBR_floor))))</f>
        <v/>
      </c>
      <c r="G158" s="17">
        <f>Derived!H158</f>
        <v/>
      </c>
      <c r="H158">
        <f>IF(OR($G158=""),"",MAX(0,MIN(1,MIN($G158,cap_NetCashPct)/cap_NetCashPct)))</f>
        <v/>
      </c>
      <c r="I158" s="15">
        <f>Derived!J158</f>
        <v/>
      </c>
      <c r="J158">
        <f>IF(OR($I158=""),"",MAX(0,MIN(1,($I158-cfg_Liq_min)/(cfg_Liq_cap-cfg_Liq_min))))</f>
        <v/>
      </c>
      <c r="K158" s="17">
        <f>Fundamentals!P158</f>
        <v/>
      </c>
      <c r="L158" s="17">
        <f>Fundamentals!Q158</f>
        <v/>
      </c>
      <c r="M158">
        <f>IF(AND($K158="",$L158=""),"",MIN(1,IF($K158="",0,MIN($K158,cap_DivYield)/cap_DivYield)*0.5+IF($L158="",0,MIN($L158,cap_BuybackYield)/cap_BuybackYield)*0.5))</f>
        <v/>
      </c>
      <c r="N158">
        <f>IF($A158="","",AVERAGE(IF(Fundamentals!R158="",0,Fundamentals!R158),IF(Fundamentals!S158="",0,Fundamentals!S158),IF(Fundamentals!T158="",0,Fundamentals!T158)))</f>
        <v/>
      </c>
      <c r="O158">
        <f>IF($A158="","",MAX(0,MIN(1,$N158)))</f>
        <v/>
      </c>
      <c r="P158" s="18">
        <f>IF($A158="","",ROUND(w_PBR*$F158+w_NetCash*$H158+w_Liq*$J158+w_Return*$M158+w_GovAct*$O158,2))</f>
        <v/>
      </c>
      <c r="Q158" s="19">
        <f>IF($A158="","",$P158+(100000-ROW())/100000000)</f>
        <v/>
      </c>
      <c r="R158">
        <f>IF($A158="","",IF($D158&lt;&gt;1,"",RANK.EQ($Q158,$Q$3:$Q$202,0)))</f>
        <v/>
      </c>
      <c r="S158">
        <f>IF($A158="","",IF($D158=1,"",Derived!L158))</f>
        <v/>
      </c>
      <c r="T158" s="19">
        <f>IF($D158=1,$Q158,"")</f>
        <v/>
      </c>
    </row>
    <row r="159">
      <c r="A159">
        <f>Derived!A159</f>
        <v/>
      </c>
      <c r="B159">
        <f>Derived!B159</f>
        <v/>
      </c>
      <c r="C159">
        <f>Derived!C159</f>
        <v/>
      </c>
      <c r="D159">
        <f>Derived!K159</f>
        <v/>
      </c>
      <c r="E159" s="16">
        <f>Derived!F159</f>
        <v/>
      </c>
      <c r="F159">
        <f>IF(OR($E159=""),"",MAX(0,MIN(1,(cfg_PBR_max-MIN($E159,cfg_PBR_max))/(cfg_PBR_max-cfg_PBR_floor))))</f>
        <v/>
      </c>
      <c r="G159" s="17">
        <f>Derived!H159</f>
        <v/>
      </c>
      <c r="H159">
        <f>IF(OR($G159=""),"",MAX(0,MIN(1,MIN($G159,cap_NetCashPct)/cap_NetCashPct)))</f>
        <v/>
      </c>
      <c r="I159" s="15">
        <f>Derived!J159</f>
        <v/>
      </c>
      <c r="J159">
        <f>IF(OR($I159=""),"",MAX(0,MIN(1,($I159-cfg_Liq_min)/(cfg_Liq_cap-cfg_Liq_min))))</f>
        <v/>
      </c>
      <c r="K159" s="17">
        <f>Fundamentals!P159</f>
        <v/>
      </c>
      <c r="L159" s="17">
        <f>Fundamentals!Q159</f>
        <v/>
      </c>
      <c r="M159">
        <f>IF(AND($K159="",$L159=""),"",MIN(1,IF($K159="",0,MIN($K159,cap_DivYield)/cap_DivYield)*0.5+IF($L159="",0,MIN($L159,cap_BuybackYield)/cap_BuybackYield)*0.5))</f>
        <v/>
      </c>
      <c r="N159">
        <f>IF($A159="","",AVERAGE(IF(Fundamentals!R159="",0,Fundamentals!R159),IF(Fundamentals!S159="",0,Fundamentals!S159),IF(Fundamentals!T159="",0,Fundamentals!T159)))</f>
        <v/>
      </c>
      <c r="O159">
        <f>IF($A159="","",MAX(0,MIN(1,$N159)))</f>
        <v/>
      </c>
      <c r="P159" s="18">
        <f>IF($A159="","",ROUND(w_PBR*$F159+w_NetCash*$H159+w_Liq*$J159+w_Return*$M159+w_GovAct*$O159,2))</f>
        <v/>
      </c>
      <c r="Q159" s="19">
        <f>IF($A159="","",$P159+(100000-ROW())/100000000)</f>
        <v/>
      </c>
      <c r="R159">
        <f>IF($A159="","",IF($D159&lt;&gt;1,"",RANK.EQ($Q159,$Q$3:$Q$202,0)))</f>
        <v/>
      </c>
      <c r="S159">
        <f>IF($A159="","",IF($D159=1,"",Derived!L159))</f>
        <v/>
      </c>
      <c r="T159" s="19">
        <f>IF($D159=1,$Q159,"")</f>
        <v/>
      </c>
    </row>
    <row r="160">
      <c r="A160">
        <f>Derived!A160</f>
        <v/>
      </c>
      <c r="B160">
        <f>Derived!B160</f>
        <v/>
      </c>
      <c r="C160">
        <f>Derived!C160</f>
        <v/>
      </c>
      <c r="D160">
        <f>Derived!K160</f>
        <v/>
      </c>
      <c r="E160" s="16">
        <f>Derived!F160</f>
        <v/>
      </c>
      <c r="F160">
        <f>IF(OR($E160=""),"",MAX(0,MIN(1,(cfg_PBR_max-MIN($E160,cfg_PBR_max))/(cfg_PBR_max-cfg_PBR_floor))))</f>
        <v/>
      </c>
      <c r="G160" s="17">
        <f>Derived!H160</f>
        <v/>
      </c>
      <c r="H160">
        <f>IF(OR($G160=""),"",MAX(0,MIN(1,MIN($G160,cap_NetCashPct)/cap_NetCashPct)))</f>
        <v/>
      </c>
      <c r="I160" s="15">
        <f>Derived!J160</f>
        <v/>
      </c>
      <c r="J160">
        <f>IF(OR($I160=""),"",MAX(0,MIN(1,($I160-cfg_Liq_min)/(cfg_Liq_cap-cfg_Liq_min))))</f>
        <v/>
      </c>
      <c r="K160" s="17">
        <f>Fundamentals!P160</f>
        <v/>
      </c>
      <c r="L160" s="17">
        <f>Fundamentals!Q160</f>
        <v/>
      </c>
      <c r="M160">
        <f>IF(AND($K160="",$L160=""),"",MIN(1,IF($K160="",0,MIN($K160,cap_DivYield)/cap_DivYield)*0.5+IF($L160="",0,MIN($L160,cap_BuybackYield)/cap_BuybackYield)*0.5))</f>
        <v/>
      </c>
      <c r="N160">
        <f>IF($A160="","",AVERAGE(IF(Fundamentals!R160="",0,Fundamentals!R160),IF(Fundamentals!S160="",0,Fundamentals!S160),IF(Fundamentals!T160="",0,Fundamentals!T160)))</f>
        <v/>
      </c>
      <c r="O160">
        <f>IF($A160="","",MAX(0,MIN(1,$N160)))</f>
        <v/>
      </c>
      <c r="P160" s="18">
        <f>IF($A160="","",ROUND(w_PBR*$F160+w_NetCash*$H160+w_Liq*$J160+w_Return*$M160+w_GovAct*$O160,2))</f>
        <v/>
      </c>
      <c r="Q160" s="19">
        <f>IF($A160="","",$P160+(100000-ROW())/100000000)</f>
        <v/>
      </c>
      <c r="R160">
        <f>IF($A160="","",IF($D160&lt;&gt;1,"",RANK.EQ($Q160,$Q$3:$Q$202,0)))</f>
        <v/>
      </c>
      <c r="S160">
        <f>IF($A160="","",IF($D160=1,"",Derived!L160))</f>
        <v/>
      </c>
      <c r="T160" s="19">
        <f>IF($D160=1,$Q160,"")</f>
        <v/>
      </c>
    </row>
    <row r="161">
      <c r="A161">
        <f>Derived!A161</f>
        <v/>
      </c>
      <c r="B161">
        <f>Derived!B161</f>
        <v/>
      </c>
      <c r="C161">
        <f>Derived!C161</f>
        <v/>
      </c>
      <c r="D161">
        <f>Derived!K161</f>
        <v/>
      </c>
      <c r="E161" s="16">
        <f>Derived!F161</f>
        <v/>
      </c>
      <c r="F161">
        <f>IF(OR($E161=""),"",MAX(0,MIN(1,(cfg_PBR_max-MIN($E161,cfg_PBR_max))/(cfg_PBR_max-cfg_PBR_floor))))</f>
        <v/>
      </c>
      <c r="G161" s="17">
        <f>Derived!H161</f>
        <v/>
      </c>
      <c r="H161">
        <f>IF(OR($G161=""),"",MAX(0,MIN(1,MIN($G161,cap_NetCashPct)/cap_NetCashPct)))</f>
        <v/>
      </c>
      <c r="I161" s="15">
        <f>Derived!J161</f>
        <v/>
      </c>
      <c r="J161">
        <f>IF(OR($I161=""),"",MAX(0,MIN(1,($I161-cfg_Liq_min)/(cfg_Liq_cap-cfg_Liq_min))))</f>
        <v/>
      </c>
      <c r="K161" s="17">
        <f>Fundamentals!P161</f>
        <v/>
      </c>
      <c r="L161" s="17">
        <f>Fundamentals!Q161</f>
        <v/>
      </c>
      <c r="M161">
        <f>IF(AND($K161="",$L161=""),"",MIN(1,IF($K161="",0,MIN($K161,cap_DivYield)/cap_DivYield)*0.5+IF($L161="",0,MIN($L161,cap_BuybackYield)/cap_BuybackYield)*0.5))</f>
        <v/>
      </c>
      <c r="N161">
        <f>IF($A161="","",AVERAGE(IF(Fundamentals!R161="",0,Fundamentals!R161),IF(Fundamentals!S161="",0,Fundamentals!S161),IF(Fundamentals!T161="",0,Fundamentals!T161)))</f>
        <v/>
      </c>
      <c r="O161">
        <f>IF($A161="","",MAX(0,MIN(1,$N161)))</f>
        <v/>
      </c>
      <c r="P161" s="18">
        <f>IF($A161="","",ROUND(w_PBR*$F161+w_NetCash*$H161+w_Liq*$J161+w_Return*$M161+w_GovAct*$O161,2))</f>
        <v/>
      </c>
      <c r="Q161" s="19">
        <f>IF($A161="","",$P161+(100000-ROW())/100000000)</f>
        <v/>
      </c>
      <c r="R161">
        <f>IF($A161="","",IF($D161&lt;&gt;1,"",RANK.EQ($Q161,$Q$3:$Q$202,0)))</f>
        <v/>
      </c>
      <c r="S161">
        <f>IF($A161="","",IF($D161=1,"",Derived!L161))</f>
        <v/>
      </c>
      <c r="T161" s="19">
        <f>IF($D161=1,$Q161,"")</f>
        <v/>
      </c>
    </row>
    <row r="162">
      <c r="A162">
        <f>Derived!A162</f>
        <v/>
      </c>
      <c r="B162">
        <f>Derived!B162</f>
        <v/>
      </c>
      <c r="C162">
        <f>Derived!C162</f>
        <v/>
      </c>
      <c r="D162">
        <f>Derived!K162</f>
        <v/>
      </c>
      <c r="E162" s="16">
        <f>Derived!F162</f>
        <v/>
      </c>
      <c r="F162">
        <f>IF(OR($E162=""),"",MAX(0,MIN(1,(cfg_PBR_max-MIN($E162,cfg_PBR_max))/(cfg_PBR_max-cfg_PBR_floor))))</f>
        <v/>
      </c>
      <c r="G162" s="17">
        <f>Derived!H162</f>
        <v/>
      </c>
      <c r="H162">
        <f>IF(OR($G162=""),"",MAX(0,MIN(1,MIN($G162,cap_NetCashPct)/cap_NetCashPct)))</f>
        <v/>
      </c>
      <c r="I162" s="15">
        <f>Derived!J162</f>
        <v/>
      </c>
      <c r="J162">
        <f>IF(OR($I162=""),"",MAX(0,MIN(1,($I162-cfg_Liq_min)/(cfg_Liq_cap-cfg_Liq_min))))</f>
        <v/>
      </c>
      <c r="K162" s="17">
        <f>Fundamentals!P162</f>
        <v/>
      </c>
      <c r="L162" s="17">
        <f>Fundamentals!Q162</f>
        <v/>
      </c>
      <c r="M162">
        <f>IF(AND($K162="",$L162=""),"",MIN(1,IF($K162="",0,MIN($K162,cap_DivYield)/cap_DivYield)*0.5+IF($L162="",0,MIN($L162,cap_BuybackYield)/cap_BuybackYield)*0.5))</f>
        <v/>
      </c>
      <c r="N162">
        <f>IF($A162="","",AVERAGE(IF(Fundamentals!R162="",0,Fundamentals!R162),IF(Fundamentals!S162="",0,Fundamentals!S162),IF(Fundamentals!T162="",0,Fundamentals!T162)))</f>
        <v/>
      </c>
      <c r="O162">
        <f>IF($A162="","",MAX(0,MIN(1,$N162)))</f>
        <v/>
      </c>
      <c r="P162" s="18">
        <f>IF($A162="","",ROUND(w_PBR*$F162+w_NetCash*$H162+w_Liq*$J162+w_Return*$M162+w_GovAct*$O162,2))</f>
        <v/>
      </c>
      <c r="Q162" s="19">
        <f>IF($A162="","",$P162+(100000-ROW())/100000000)</f>
        <v/>
      </c>
      <c r="R162">
        <f>IF($A162="","",IF($D162&lt;&gt;1,"",RANK.EQ($Q162,$Q$3:$Q$202,0)))</f>
        <v/>
      </c>
      <c r="S162">
        <f>IF($A162="","",IF($D162=1,"",Derived!L162))</f>
        <v/>
      </c>
      <c r="T162" s="19">
        <f>IF($D162=1,$Q162,"")</f>
        <v/>
      </c>
    </row>
    <row r="163">
      <c r="A163">
        <f>Derived!A163</f>
        <v/>
      </c>
      <c r="B163">
        <f>Derived!B163</f>
        <v/>
      </c>
      <c r="C163">
        <f>Derived!C163</f>
        <v/>
      </c>
      <c r="D163">
        <f>Derived!K163</f>
        <v/>
      </c>
      <c r="E163" s="16">
        <f>Derived!F163</f>
        <v/>
      </c>
      <c r="F163">
        <f>IF(OR($E163=""),"",MAX(0,MIN(1,(cfg_PBR_max-MIN($E163,cfg_PBR_max))/(cfg_PBR_max-cfg_PBR_floor))))</f>
        <v/>
      </c>
      <c r="G163" s="17">
        <f>Derived!H163</f>
        <v/>
      </c>
      <c r="H163">
        <f>IF(OR($G163=""),"",MAX(0,MIN(1,MIN($G163,cap_NetCashPct)/cap_NetCashPct)))</f>
        <v/>
      </c>
      <c r="I163" s="15">
        <f>Derived!J163</f>
        <v/>
      </c>
      <c r="J163">
        <f>IF(OR($I163=""),"",MAX(0,MIN(1,($I163-cfg_Liq_min)/(cfg_Liq_cap-cfg_Liq_min))))</f>
        <v/>
      </c>
      <c r="K163" s="17">
        <f>Fundamentals!P163</f>
        <v/>
      </c>
      <c r="L163" s="17">
        <f>Fundamentals!Q163</f>
        <v/>
      </c>
      <c r="M163">
        <f>IF(AND($K163="",$L163=""),"",MIN(1,IF($K163="",0,MIN($K163,cap_DivYield)/cap_DivYield)*0.5+IF($L163="",0,MIN($L163,cap_BuybackYield)/cap_BuybackYield)*0.5))</f>
        <v/>
      </c>
      <c r="N163">
        <f>IF($A163="","",AVERAGE(IF(Fundamentals!R163="",0,Fundamentals!R163),IF(Fundamentals!S163="",0,Fundamentals!S163),IF(Fundamentals!T163="",0,Fundamentals!T163)))</f>
        <v/>
      </c>
      <c r="O163">
        <f>IF($A163="","",MAX(0,MIN(1,$N163)))</f>
        <v/>
      </c>
      <c r="P163" s="18">
        <f>IF($A163="","",ROUND(w_PBR*$F163+w_NetCash*$H163+w_Liq*$J163+w_Return*$M163+w_GovAct*$O163,2))</f>
        <v/>
      </c>
      <c r="Q163" s="19">
        <f>IF($A163="","",$P163+(100000-ROW())/100000000)</f>
        <v/>
      </c>
      <c r="R163">
        <f>IF($A163="","",IF($D163&lt;&gt;1,"",RANK.EQ($Q163,$Q$3:$Q$202,0)))</f>
        <v/>
      </c>
      <c r="S163">
        <f>IF($A163="","",IF($D163=1,"",Derived!L163))</f>
        <v/>
      </c>
      <c r="T163" s="19">
        <f>IF($D163=1,$Q163,"")</f>
        <v/>
      </c>
    </row>
    <row r="164">
      <c r="A164">
        <f>Derived!A164</f>
        <v/>
      </c>
      <c r="B164">
        <f>Derived!B164</f>
        <v/>
      </c>
      <c r="C164">
        <f>Derived!C164</f>
        <v/>
      </c>
      <c r="D164">
        <f>Derived!K164</f>
        <v/>
      </c>
      <c r="E164" s="16">
        <f>Derived!F164</f>
        <v/>
      </c>
      <c r="F164">
        <f>IF(OR($E164=""),"",MAX(0,MIN(1,(cfg_PBR_max-MIN($E164,cfg_PBR_max))/(cfg_PBR_max-cfg_PBR_floor))))</f>
        <v/>
      </c>
      <c r="G164" s="17">
        <f>Derived!H164</f>
        <v/>
      </c>
      <c r="H164">
        <f>IF(OR($G164=""),"",MAX(0,MIN(1,MIN($G164,cap_NetCashPct)/cap_NetCashPct)))</f>
        <v/>
      </c>
      <c r="I164" s="15">
        <f>Derived!J164</f>
        <v/>
      </c>
      <c r="J164">
        <f>IF(OR($I164=""),"",MAX(0,MIN(1,($I164-cfg_Liq_min)/(cfg_Liq_cap-cfg_Liq_min))))</f>
        <v/>
      </c>
      <c r="K164" s="17">
        <f>Fundamentals!P164</f>
        <v/>
      </c>
      <c r="L164" s="17">
        <f>Fundamentals!Q164</f>
        <v/>
      </c>
      <c r="M164">
        <f>IF(AND($K164="",$L164=""),"",MIN(1,IF($K164="",0,MIN($K164,cap_DivYield)/cap_DivYield)*0.5+IF($L164="",0,MIN($L164,cap_BuybackYield)/cap_BuybackYield)*0.5))</f>
        <v/>
      </c>
      <c r="N164">
        <f>IF($A164="","",AVERAGE(IF(Fundamentals!R164="",0,Fundamentals!R164),IF(Fundamentals!S164="",0,Fundamentals!S164),IF(Fundamentals!T164="",0,Fundamentals!T164)))</f>
        <v/>
      </c>
      <c r="O164">
        <f>IF($A164="","",MAX(0,MIN(1,$N164)))</f>
        <v/>
      </c>
      <c r="P164" s="18">
        <f>IF($A164="","",ROUND(w_PBR*$F164+w_NetCash*$H164+w_Liq*$J164+w_Return*$M164+w_GovAct*$O164,2))</f>
        <v/>
      </c>
      <c r="Q164" s="19">
        <f>IF($A164="","",$P164+(100000-ROW())/100000000)</f>
        <v/>
      </c>
      <c r="R164">
        <f>IF($A164="","",IF($D164&lt;&gt;1,"",RANK.EQ($Q164,$Q$3:$Q$202,0)))</f>
        <v/>
      </c>
      <c r="S164">
        <f>IF($A164="","",IF($D164=1,"",Derived!L164))</f>
        <v/>
      </c>
      <c r="T164" s="19">
        <f>IF($D164=1,$Q164,"")</f>
        <v/>
      </c>
    </row>
    <row r="165">
      <c r="A165">
        <f>Derived!A165</f>
        <v/>
      </c>
      <c r="B165">
        <f>Derived!B165</f>
        <v/>
      </c>
      <c r="C165">
        <f>Derived!C165</f>
        <v/>
      </c>
      <c r="D165">
        <f>Derived!K165</f>
        <v/>
      </c>
      <c r="E165" s="16">
        <f>Derived!F165</f>
        <v/>
      </c>
      <c r="F165">
        <f>IF(OR($E165=""),"",MAX(0,MIN(1,(cfg_PBR_max-MIN($E165,cfg_PBR_max))/(cfg_PBR_max-cfg_PBR_floor))))</f>
        <v/>
      </c>
      <c r="G165" s="17">
        <f>Derived!H165</f>
        <v/>
      </c>
      <c r="H165">
        <f>IF(OR($G165=""),"",MAX(0,MIN(1,MIN($G165,cap_NetCashPct)/cap_NetCashPct)))</f>
        <v/>
      </c>
      <c r="I165" s="15">
        <f>Derived!J165</f>
        <v/>
      </c>
      <c r="J165">
        <f>IF(OR($I165=""),"",MAX(0,MIN(1,($I165-cfg_Liq_min)/(cfg_Liq_cap-cfg_Liq_min))))</f>
        <v/>
      </c>
      <c r="K165" s="17">
        <f>Fundamentals!P165</f>
        <v/>
      </c>
      <c r="L165" s="17">
        <f>Fundamentals!Q165</f>
        <v/>
      </c>
      <c r="M165">
        <f>IF(AND($K165="",$L165=""),"",MIN(1,IF($K165="",0,MIN($K165,cap_DivYield)/cap_DivYield)*0.5+IF($L165="",0,MIN($L165,cap_BuybackYield)/cap_BuybackYield)*0.5))</f>
        <v/>
      </c>
      <c r="N165">
        <f>IF($A165="","",AVERAGE(IF(Fundamentals!R165="",0,Fundamentals!R165),IF(Fundamentals!S165="",0,Fundamentals!S165),IF(Fundamentals!T165="",0,Fundamentals!T165)))</f>
        <v/>
      </c>
      <c r="O165">
        <f>IF($A165="","",MAX(0,MIN(1,$N165)))</f>
        <v/>
      </c>
      <c r="P165" s="18">
        <f>IF($A165="","",ROUND(w_PBR*$F165+w_NetCash*$H165+w_Liq*$J165+w_Return*$M165+w_GovAct*$O165,2))</f>
        <v/>
      </c>
      <c r="Q165" s="19">
        <f>IF($A165="","",$P165+(100000-ROW())/100000000)</f>
        <v/>
      </c>
      <c r="R165">
        <f>IF($A165="","",IF($D165&lt;&gt;1,"",RANK.EQ($Q165,$Q$3:$Q$202,0)))</f>
        <v/>
      </c>
      <c r="S165">
        <f>IF($A165="","",IF($D165=1,"",Derived!L165))</f>
        <v/>
      </c>
      <c r="T165" s="19">
        <f>IF($D165=1,$Q165,"")</f>
        <v/>
      </c>
    </row>
    <row r="166">
      <c r="A166">
        <f>Derived!A166</f>
        <v/>
      </c>
      <c r="B166">
        <f>Derived!B166</f>
        <v/>
      </c>
      <c r="C166">
        <f>Derived!C166</f>
        <v/>
      </c>
      <c r="D166">
        <f>Derived!K166</f>
        <v/>
      </c>
      <c r="E166" s="16">
        <f>Derived!F166</f>
        <v/>
      </c>
      <c r="F166">
        <f>IF(OR($E166=""),"",MAX(0,MIN(1,(cfg_PBR_max-MIN($E166,cfg_PBR_max))/(cfg_PBR_max-cfg_PBR_floor))))</f>
        <v/>
      </c>
      <c r="G166" s="17">
        <f>Derived!H166</f>
        <v/>
      </c>
      <c r="H166">
        <f>IF(OR($G166=""),"",MAX(0,MIN(1,MIN($G166,cap_NetCashPct)/cap_NetCashPct)))</f>
        <v/>
      </c>
      <c r="I166" s="15">
        <f>Derived!J166</f>
        <v/>
      </c>
      <c r="J166">
        <f>IF(OR($I166=""),"",MAX(0,MIN(1,($I166-cfg_Liq_min)/(cfg_Liq_cap-cfg_Liq_min))))</f>
        <v/>
      </c>
      <c r="K166" s="17">
        <f>Fundamentals!P166</f>
        <v/>
      </c>
      <c r="L166" s="17">
        <f>Fundamentals!Q166</f>
        <v/>
      </c>
      <c r="M166">
        <f>IF(AND($K166="",$L166=""),"",MIN(1,IF($K166="",0,MIN($K166,cap_DivYield)/cap_DivYield)*0.5+IF($L166="",0,MIN($L166,cap_BuybackYield)/cap_BuybackYield)*0.5))</f>
        <v/>
      </c>
      <c r="N166">
        <f>IF($A166="","",AVERAGE(IF(Fundamentals!R166="",0,Fundamentals!R166),IF(Fundamentals!S166="",0,Fundamentals!S166),IF(Fundamentals!T166="",0,Fundamentals!T166)))</f>
        <v/>
      </c>
      <c r="O166">
        <f>IF($A166="","",MAX(0,MIN(1,$N166)))</f>
        <v/>
      </c>
      <c r="P166" s="18">
        <f>IF($A166="","",ROUND(w_PBR*$F166+w_NetCash*$H166+w_Liq*$J166+w_Return*$M166+w_GovAct*$O166,2))</f>
        <v/>
      </c>
      <c r="Q166" s="19">
        <f>IF($A166="","",$P166+(100000-ROW())/100000000)</f>
        <v/>
      </c>
      <c r="R166">
        <f>IF($A166="","",IF($D166&lt;&gt;1,"",RANK.EQ($Q166,$Q$3:$Q$202,0)))</f>
        <v/>
      </c>
      <c r="S166">
        <f>IF($A166="","",IF($D166=1,"",Derived!L166))</f>
        <v/>
      </c>
      <c r="T166" s="19">
        <f>IF($D166=1,$Q166,"")</f>
        <v/>
      </c>
    </row>
    <row r="167">
      <c r="A167">
        <f>Derived!A167</f>
        <v/>
      </c>
      <c r="B167">
        <f>Derived!B167</f>
        <v/>
      </c>
      <c r="C167">
        <f>Derived!C167</f>
        <v/>
      </c>
      <c r="D167">
        <f>Derived!K167</f>
        <v/>
      </c>
      <c r="E167" s="16">
        <f>Derived!F167</f>
        <v/>
      </c>
      <c r="F167">
        <f>IF(OR($E167=""),"",MAX(0,MIN(1,(cfg_PBR_max-MIN($E167,cfg_PBR_max))/(cfg_PBR_max-cfg_PBR_floor))))</f>
        <v/>
      </c>
      <c r="G167" s="17">
        <f>Derived!H167</f>
        <v/>
      </c>
      <c r="H167">
        <f>IF(OR($G167=""),"",MAX(0,MIN(1,MIN($G167,cap_NetCashPct)/cap_NetCashPct)))</f>
        <v/>
      </c>
      <c r="I167" s="15">
        <f>Derived!J167</f>
        <v/>
      </c>
      <c r="J167">
        <f>IF(OR($I167=""),"",MAX(0,MIN(1,($I167-cfg_Liq_min)/(cfg_Liq_cap-cfg_Liq_min))))</f>
        <v/>
      </c>
      <c r="K167" s="17">
        <f>Fundamentals!P167</f>
        <v/>
      </c>
      <c r="L167" s="17">
        <f>Fundamentals!Q167</f>
        <v/>
      </c>
      <c r="M167">
        <f>IF(AND($K167="",$L167=""),"",MIN(1,IF($K167="",0,MIN($K167,cap_DivYield)/cap_DivYield)*0.5+IF($L167="",0,MIN($L167,cap_BuybackYield)/cap_BuybackYield)*0.5))</f>
        <v/>
      </c>
      <c r="N167">
        <f>IF($A167="","",AVERAGE(IF(Fundamentals!R167="",0,Fundamentals!R167),IF(Fundamentals!S167="",0,Fundamentals!S167),IF(Fundamentals!T167="",0,Fundamentals!T167)))</f>
        <v/>
      </c>
      <c r="O167">
        <f>IF($A167="","",MAX(0,MIN(1,$N167)))</f>
        <v/>
      </c>
      <c r="P167" s="18">
        <f>IF($A167="","",ROUND(w_PBR*$F167+w_NetCash*$H167+w_Liq*$J167+w_Return*$M167+w_GovAct*$O167,2))</f>
        <v/>
      </c>
      <c r="Q167" s="19">
        <f>IF($A167="","",$P167+(100000-ROW())/100000000)</f>
        <v/>
      </c>
      <c r="R167">
        <f>IF($A167="","",IF($D167&lt;&gt;1,"",RANK.EQ($Q167,$Q$3:$Q$202,0)))</f>
        <v/>
      </c>
      <c r="S167">
        <f>IF($A167="","",IF($D167=1,"",Derived!L167))</f>
        <v/>
      </c>
      <c r="T167" s="19">
        <f>IF($D167=1,$Q167,"")</f>
        <v/>
      </c>
    </row>
    <row r="168">
      <c r="A168">
        <f>Derived!A168</f>
        <v/>
      </c>
      <c r="B168">
        <f>Derived!B168</f>
        <v/>
      </c>
      <c r="C168">
        <f>Derived!C168</f>
        <v/>
      </c>
      <c r="D168">
        <f>Derived!K168</f>
        <v/>
      </c>
      <c r="E168" s="16">
        <f>Derived!F168</f>
        <v/>
      </c>
      <c r="F168">
        <f>IF(OR($E168=""),"",MAX(0,MIN(1,(cfg_PBR_max-MIN($E168,cfg_PBR_max))/(cfg_PBR_max-cfg_PBR_floor))))</f>
        <v/>
      </c>
      <c r="G168" s="17">
        <f>Derived!H168</f>
        <v/>
      </c>
      <c r="H168">
        <f>IF(OR($G168=""),"",MAX(0,MIN(1,MIN($G168,cap_NetCashPct)/cap_NetCashPct)))</f>
        <v/>
      </c>
      <c r="I168" s="15">
        <f>Derived!J168</f>
        <v/>
      </c>
      <c r="J168">
        <f>IF(OR($I168=""),"",MAX(0,MIN(1,($I168-cfg_Liq_min)/(cfg_Liq_cap-cfg_Liq_min))))</f>
        <v/>
      </c>
      <c r="K168" s="17">
        <f>Fundamentals!P168</f>
        <v/>
      </c>
      <c r="L168" s="17">
        <f>Fundamentals!Q168</f>
        <v/>
      </c>
      <c r="M168">
        <f>IF(AND($K168="",$L168=""),"",MIN(1,IF($K168="",0,MIN($K168,cap_DivYield)/cap_DivYield)*0.5+IF($L168="",0,MIN($L168,cap_BuybackYield)/cap_BuybackYield)*0.5))</f>
        <v/>
      </c>
      <c r="N168">
        <f>IF($A168="","",AVERAGE(IF(Fundamentals!R168="",0,Fundamentals!R168),IF(Fundamentals!S168="",0,Fundamentals!S168),IF(Fundamentals!T168="",0,Fundamentals!T168)))</f>
        <v/>
      </c>
      <c r="O168">
        <f>IF($A168="","",MAX(0,MIN(1,$N168)))</f>
        <v/>
      </c>
      <c r="P168" s="18">
        <f>IF($A168="","",ROUND(w_PBR*$F168+w_NetCash*$H168+w_Liq*$J168+w_Return*$M168+w_GovAct*$O168,2))</f>
        <v/>
      </c>
      <c r="Q168" s="19">
        <f>IF($A168="","",$P168+(100000-ROW())/100000000)</f>
        <v/>
      </c>
      <c r="R168">
        <f>IF($A168="","",IF($D168&lt;&gt;1,"",RANK.EQ($Q168,$Q$3:$Q$202,0)))</f>
        <v/>
      </c>
      <c r="S168">
        <f>IF($A168="","",IF($D168=1,"",Derived!L168))</f>
        <v/>
      </c>
      <c r="T168" s="19">
        <f>IF($D168=1,$Q168,"")</f>
        <v/>
      </c>
    </row>
    <row r="169">
      <c r="A169">
        <f>Derived!A169</f>
        <v/>
      </c>
      <c r="B169">
        <f>Derived!B169</f>
        <v/>
      </c>
      <c r="C169">
        <f>Derived!C169</f>
        <v/>
      </c>
      <c r="D169">
        <f>Derived!K169</f>
        <v/>
      </c>
      <c r="E169" s="16">
        <f>Derived!F169</f>
        <v/>
      </c>
      <c r="F169">
        <f>IF(OR($E169=""),"",MAX(0,MIN(1,(cfg_PBR_max-MIN($E169,cfg_PBR_max))/(cfg_PBR_max-cfg_PBR_floor))))</f>
        <v/>
      </c>
      <c r="G169" s="17">
        <f>Derived!H169</f>
        <v/>
      </c>
      <c r="H169">
        <f>IF(OR($G169=""),"",MAX(0,MIN(1,MIN($G169,cap_NetCashPct)/cap_NetCashPct)))</f>
        <v/>
      </c>
      <c r="I169" s="15">
        <f>Derived!J169</f>
        <v/>
      </c>
      <c r="J169">
        <f>IF(OR($I169=""),"",MAX(0,MIN(1,($I169-cfg_Liq_min)/(cfg_Liq_cap-cfg_Liq_min))))</f>
        <v/>
      </c>
      <c r="K169" s="17">
        <f>Fundamentals!P169</f>
        <v/>
      </c>
      <c r="L169" s="17">
        <f>Fundamentals!Q169</f>
        <v/>
      </c>
      <c r="M169">
        <f>IF(AND($K169="",$L169=""),"",MIN(1,IF($K169="",0,MIN($K169,cap_DivYield)/cap_DivYield)*0.5+IF($L169="",0,MIN($L169,cap_BuybackYield)/cap_BuybackYield)*0.5))</f>
        <v/>
      </c>
      <c r="N169">
        <f>IF($A169="","",AVERAGE(IF(Fundamentals!R169="",0,Fundamentals!R169),IF(Fundamentals!S169="",0,Fundamentals!S169),IF(Fundamentals!T169="",0,Fundamentals!T169)))</f>
        <v/>
      </c>
      <c r="O169">
        <f>IF($A169="","",MAX(0,MIN(1,$N169)))</f>
        <v/>
      </c>
      <c r="P169" s="18">
        <f>IF($A169="","",ROUND(w_PBR*$F169+w_NetCash*$H169+w_Liq*$J169+w_Return*$M169+w_GovAct*$O169,2))</f>
        <v/>
      </c>
      <c r="Q169" s="19">
        <f>IF($A169="","",$P169+(100000-ROW())/100000000)</f>
        <v/>
      </c>
      <c r="R169">
        <f>IF($A169="","",IF($D169&lt;&gt;1,"",RANK.EQ($Q169,$Q$3:$Q$202,0)))</f>
        <v/>
      </c>
      <c r="S169">
        <f>IF($A169="","",IF($D169=1,"",Derived!L169))</f>
        <v/>
      </c>
      <c r="T169" s="19">
        <f>IF($D169=1,$Q169,"")</f>
        <v/>
      </c>
    </row>
    <row r="170">
      <c r="A170">
        <f>Derived!A170</f>
        <v/>
      </c>
      <c r="B170">
        <f>Derived!B170</f>
        <v/>
      </c>
      <c r="C170">
        <f>Derived!C170</f>
        <v/>
      </c>
      <c r="D170">
        <f>Derived!K170</f>
        <v/>
      </c>
      <c r="E170" s="16">
        <f>Derived!F170</f>
        <v/>
      </c>
      <c r="F170">
        <f>IF(OR($E170=""),"",MAX(0,MIN(1,(cfg_PBR_max-MIN($E170,cfg_PBR_max))/(cfg_PBR_max-cfg_PBR_floor))))</f>
        <v/>
      </c>
      <c r="G170" s="17">
        <f>Derived!H170</f>
        <v/>
      </c>
      <c r="H170">
        <f>IF(OR($G170=""),"",MAX(0,MIN(1,MIN($G170,cap_NetCashPct)/cap_NetCashPct)))</f>
        <v/>
      </c>
      <c r="I170" s="15">
        <f>Derived!J170</f>
        <v/>
      </c>
      <c r="J170">
        <f>IF(OR($I170=""),"",MAX(0,MIN(1,($I170-cfg_Liq_min)/(cfg_Liq_cap-cfg_Liq_min))))</f>
        <v/>
      </c>
      <c r="K170" s="17">
        <f>Fundamentals!P170</f>
        <v/>
      </c>
      <c r="L170" s="17">
        <f>Fundamentals!Q170</f>
        <v/>
      </c>
      <c r="M170">
        <f>IF(AND($K170="",$L170=""),"",MIN(1,IF($K170="",0,MIN($K170,cap_DivYield)/cap_DivYield)*0.5+IF($L170="",0,MIN($L170,cap_BuybackYield)/cap_BuybackYield)*0.5))</f>
        <v/>
      </c>
      <c r="N170">
        <f>IF($A170="","",AVERAGE(IF(Fundamentals!R170="",0,Fundamentals!R170),IF(Fundamentals!S170="",0,Fundamentals!S170),IF(Fundamentals!T170="",0,Fundamentals!T170)))</f>
        <v/>
      </c>
      <c r="O170">
        <f>IF($A170="","",MAX(0,MIN(1,$N170)))</f>
        <v/>
      </c>
      <c r="P170" s="18">
        <f>IF($A170="","",ROUND(w_PBR*$F170+w_NetCash*$H170+w_Liq*$J170+w_Return*$M170+w_GovAct*$O170,2))</f>
        <v/>
      </c>
      <c r="Q170" s="19">
        <f>IF($A170="","",$P170+(100000-ROW())/100000000)</f>
        <v/>
      </c>
      <c r="R170">
        <f>IF($A170="","",IF($D170&lt;&gt;1,"",RANK.EQ($Q170,$Q$3:$Q$202,0)))</f>
        <v/>
      </c>
      <c r="S170">
        <f>IF($A170="","",IF($D170=1,"",Derived!L170))</f>
        <v/>
      </c>
      <c r="T170" s="19">
        <f>IF($D170=1,$Q170,"")</f>
        <v/>
      </c>
    </row>
    <row r="171">
      <c r="A171">
        <f>Derived!A171</f>
        <v/>
      </c>
      <c r="B171">
        <f>Derived!B171</f>
        <v/>
      </c>
      <c r="C171">
        <f>Derived!C171</f>
        <v/>
      </c>
      <c r="D171">
        <f>Derived!K171</f>
        <v/>
      </c>
      <c r="E171" s="16">
        <f>Derived!F171</f>
        <v/>
      </c>
      <c r="F171">
        <f>IF(OR($E171=""),"",MAX(0,MIN(1,(cfg_PBR_max-MIN($E171,cfg_PBR_max))/(cfg_PBR_max-cfg_PBR_floor))))</f>
        <v/>
      </c>
      <c r="G171" s="17">
        <f>Derived!H171</f>
        <v/>
      </c>
      <c r="H171">
        <f>IF(OR($G171=""),"",MAX(0,MIN(1,MIN($G171,cap_NetCashPct)/cap_NetCashPct)))</f>
        <v/>
      </c>
      <c r="I171" s="15">
        <f>Derived!J171</f>
        <v/>
      </c>
      <c r="J171">
        <f>IF(OR($I171=""),"",MAX(0,MIN(1,($I171-cfg_Liq_min)/(cfg_Liq_cap-cfg_Liq_min))))</f>
        <v/>
      </c>
      <c r="K171" s="17">
        <f>Fundamentals!P171</f>
        <v/>
      </c>
      <c r="L171" s="17">
        <f>Fundamentals!Q171</f>
        <v/>
      </c>
      <c r="M171">
        <f>IF(AND($K171="",$L171=""),"",MIN(1,IF($K171="",0,MIN($K171,cap_DivYield)/cap_DivYield)*0.5+IF($L171="",0,MIN($L171,cap_BuybackYield)/cap_BuybackYield)*0.5))</f>
        <v/>
      </c>
      <c r="N171">
        <f>IF($A171="","",AVERAGE(IF(Fundamentals!R171="",0,Fundamentals!R171),IF(Fundamentals!S171="",0,Fundamentals!S171),IF(Fundamentals!T171="",0,Fundamentals!T171)))</f>
        <v/>
      </c>
      <c r="O171">
        <f>IF($A171="","",MAX(0,MIN(1,$N171)))</f>
        <v/>
      </c>
      <c r="P171" s="18">
        <f>IF($A171="","",ROUND(w_PBR*$F171+w_NetCash*$H171+w_Liq*$J171+w_Return*$M171+w_GovAct*$O171,2))</f>
        <v/>
      </c>
      <c r="Q171" s="19">
        <f>IF($A171="","",$P171+(100000-ROW())/100000000)</f>
        <v/>
      </c>
      <c r="R171">
        <f>IF($A171="","",IF($D171&lt;&gt;1,"",RANK.EQ($Q171,$Q$3:$Q$202,0)))</f>
        <v/>
      </c>
      <c r="S171">
        <f>IF($A171="","",IF($D171=1,"",Derived!L171))</f>
        <v/>
      </c>
      <c r="T171" s="19">
        <f>IF($D171=1,$Q171,"")</f>
        <v/>
      </c>
    </row>
    <row r="172">
      <c r="A172">
        <f>Derived!A172</f>
        <v/>
      </c>
      <c r="B172">
        <f>Derived!B172</f>
        <v/>
      </c>
      <c r="C172">
        <f>Derived!C172</f>
        <v/>
      </c>
      <c r="D172">
        <f>Derived!K172</f>
        <v/>
      </c>
      <c r="E172" s="16">
        <f>Derived!F172</f>
        <v/>
      </c>
      <c r="F172">
        <f>IF(OR($E172=""),"",MAX(0,MIN(1,(cfg_PBR_max-MIN($E172,cfg_PBR_max))/(cfg_PBR_max-cfg_PBR_floor))))</f>
        <v/>
      </c>
      <c r="G172" s="17">
        <f>Derived!H172</f>
        <v/>
      </c>
      <c r="H172">
        <f>IF(OR($G172=""),"",MAX(0,MIN(1,MIN($G172,cap_NetCashPct)/cap_NetCashPct)))</f>
        <v/>
      </c>
      <c r="I172" s="15">
        <f>Derived!J172</f>
        <v/>
      </c>
      <c r="J172">
        <f>IF(OR($I172=""),"",MAX(0,MIN(1,($I172-cfg_Liq_min)/(cfg_Liq_cap-cfg_Liq_min))))</f>
        <v/>
      </c>
      <c r="K172" s="17">
        <f>Fundamentals!P172</f>
        <v/>
      </c>
      <c r="L172" s="17">
        <f>Fundamentals!Q172</f>
        <v/>
      </c>
      <c r="M172">
        <f>IF(AND($K172="",$L172=""),"",MIN(1,IF($K172="",0,MIN($K172,cap_DivYield)/cap_DivYield)*0.5+IF($L172="",0,MIN($L172,cap_BuybackYield)/cap_BuybackYield)*0.5))</f>
        <v/>
      </c>
      <c r="N172">
        <f>IF($A172="","",AVERAGE(IF(Fundamentals!R172="",0,Fundamentals!R172),IF(Fundamentals!S172="",0,Fundamentals!S172),IF(Fundamentals!T172="",0,Fundamentals!T172)))</f>
        <v/>
      </c>
      <c r="O172">
        <f>IF($A172="","",MAX(0,MIN(1,$N172)))</f>
        <v/>
      </c>
      <c r="P172" s="18">
        <f>IF($A172="","",ROUND(w_PBR*$F172+w_NetCash*$H172+w_Liq*$J172+w_Return*$M172+w_GovAct*$O172,2))</f>
        <v/>
      </c>
      <c r="Q172" s="19">
        <f>IF($A172="","",$P172+(100000-ROW())/100000000)</f>
        <v/>
      </c>
      <c r="R172">
        <f>IF($A172="","",IF($D172&lt;&gt;1,"",RANK.EQ($Q172,$Q$3:$Q$202,0)))</f>
        <v/>
      </c>
      <c r="S172">
        <f>IF($A172="","",IF($D172=1,"",Derived!L172))</f>
        <v/>
      </c>
      <c r="T172" s="19">
        <f>IF($D172=1,$Q172,"")</f>
        <v/>
      </c>
    </row>
    <row r="173">
      <c r="A173">
        <f>Derived!A173</f>
        <v/>
      </c>
      <c r="B173">
        <f>Derived!B173</f>
        <v/>
      </c>
      <c r="C173">
        <f>Derived!C173</f>
        <v/>
      </c>
      <c r="D173">
        <f>Derived!K173</f>
        <v/>
      </c>
      <c r="E173" s="16">
        <f>Derived!F173</f>
        <v/>
      </c>
      <c r="F173">
        <f>IF(OR($E173=""),"",MAX(0,MIN(1,(cfg_PBR_max-MIN($E173,cfg_PBR_max))/(cfg_PBR_max-cfg_PBR_floor))))</f>
        <v/>
      </c>
      <c r="G173" s="17">
        <f>Derived!H173</f>
        <v/>
      </c>
      <c r="H173">
        <f>IF(OR($G173=""),"",MAX(0,MIN(1,MIN($G173,cap_NetCashPct)/cap_NetCashPct)))</f>
        <v/>
      </c>
      <c r="I173" s="15">
        <f>Derived!J173</f>
        <v/>
      </c>
      <c r="J173">
        <f>IF(OR($I173=""),"",MAX(0,MIN(1,($I173-cfg_Liq_min)/(cfg_Liq_cap-cfg_Liq_min))))</f>
        <v/>
      </c>
      <c r="K173" s="17">
        <f>Fundamentals!P173</f>
        <v/>
      </c>
      <c r="L173" s="17">
        <f>Fundamentals!Q173</f>
        <v/>
      </c>
      <c r="M173">
        <f>IF(AND($K173="",$L173=""),"",MIN(1,IF($K173="",0,MIN($K173,cap_DivYield)/cap_DivYield)*0.5+IF($L173="",0,MIN($L173,cap_BuybackYield)/cap_BuybackYield)*0.5))</f>
        <v/>
      </c>
      <c r="N173">
        <f>IF($A173="","",AVERAGE(IF(Fundamentals!R173="",0,Fundamentals!R173),IF(Fundamentals!S173="",0,Fundamentals!S173),IF(Fundamentals!T173="",0,Fundamentals!T173)))</f>
        <v/>
      </c>
      <c r="O173">
        <f>IF($A173="","",MAX(0,MIN(1,$N173)))</f>
        <v/>
      </c>
      <c r="P173" s="18">
        <f>IF($A173="","",ROUND(w_PBR*$F173+w_NetCash*$H173+w_Liq*$J173+w_Return*$M173+w_GovAct*$O173,2))</f>
        <v/>
      </c>
      <c r="Q173" s="19">
        <f>IF($A173="","",$P173+(100000-ROW())/100000000)</f>
        <v/>
      </c>
      <c r="R173">
        <f>IF($A173="","",IF($D173&lt;&gt;1,"",RANK.EQ($Q173,$Q$3:$Q$202,0)))</f>
        <v/>
      </c>
      <c r="S173">
        <f>IF($A173="","",IF($D173=1,"",Derived!L173))</f>
        <v/>
      </c>
      <c r="T173" s="19">
        <f>IF($D173=1,$Q173,"")</f>
        <v/>
      </c>
    </row>
    <row r="174">
      <c r="A174">
        <f>Derived!A174</f>
        <v/>
      </c>
      <c r="B174">
        <f>Derived!B174</f>
        <v/>
      </c>
      <c r="C174">
        <f>Derived!C174</f>
        <v/>
      </c>
      <c r="D174">
        <f>Derived!K174</f>
        <v/>
      </c>
      <c r="E174" s="16">
        <f>Derived!F174</f>
        <v/>
      </c>
      <c r="F174">
        <f>IF(OR($E174=""),"",MAX(0,MIN(1,(cfg_PBR_max-MIN($E174,cfg_PBR_max))/(cfg_PBR_max-cfg_PBR_floor))))</f>
        <v/>
      </c>
      <c r="G174" s="17">
        <f>Derived!H174</f>
        <v/>
      </c>
      <c r="H174">
        <f>IF(OR($G174=""),"",MAX(0,MIN(1,MIN($G174,cap_NetCashPct)/cap_NetCashPct)))</f>
        <v/>
      </c>
      <c r="I174" s="15">
        <f>Derived!J174</f>
        <v/>
      </c>
      <c r="J174">
        <f>IF(OR($I174=""),"",MAX(0,MIN(1,($I174-cfg_Liq_min)/(cfg_Liq_cap-cfg_Liq_min))))</f>
        <v/>
      </c>
      <c r="K174" s="17">
        <f>Fundamentals!P174</f>
        <v/>
      </c>
      <c r="L174" s="17">
        <f>Fundamentals!Q174</f>
        <v/>
      </c>
      <c r="M174">
        <f>IF(AND($K174="",$L174=""),"",MIN(1,IF($K174="",0,MIN($K174,cap_DivYield)/cap_DivYield)*0.5+IF($L174="",0,MIN($L174,cap_BuybackYield)/cap_BuybackYield)*0.5))</f>
        <v/>
      </c>
      <c r="N174">
        <f>IF($A174="","",AVERAGE(IF(Fundamentals!R174="",0,Fundamentals!R174),IF(Fundamentals!S174="",0,Fundamentals!S174),IF(Fundamentals!T174="",0,Fundamentals!T174)))</f>
        <v/>
      </c>
      <c r="O174">
        <f>IF($A174="","",MAX(0,MIN(1,$N174)))</f>
        <v/>
      </c>
      <c r="P174" s="18">
        <f>IF($A174="","",ROUND(w_PBR*$F174+w_NetCash*$H174+w_Liq*$J174+w_Return*$M174+w_GovAct*$O174,2))</f>
        <v/>
      </c>
      <c r="Q174" s="19">
        <f>IF($A174="","",$P174+(100000-ROW())/100000000)</f>
        <v/>
      </c>
      <c r="R174">
        <f>IF($A174="","",IF($D174&lt;&gt;1,"",RANK.EQ($Q174,$Q$3:$Q$202,0)))</f>
        <v/>
      </c>
      <c r="S174">
        <f>IF($A174="","",IF($D174=1,"",Derived!L174))</f>
        <v/>
      </c>
      <c r="T174" s="19">
        <f>IF($D174=1,$Q174,"")</f>
        <v/>
      </c>
    </row>
    <row r="175">
      <c r="A175">
        <f>Derived!A175</f>
        <v/>
      </c>
      <c r="B175">
        <f>Derived!B175</f>
        <v/>
      </c>
      <c r="C175">
        <f>Derived!C175</f>
        <v/>
      </c>
      <c r="D175">
        <f>Derived!K175</f>
        <v/>
      </c>
      <c r="E175" s="16">
        <f>Derived!F175</f>
        <v/>
      </c>
      <c r="F175">
        <f>IF(OR($E175=""),"",MAX(0,MIN(1,(cfg_PBR_max-MIN($E175,cfg_PBR_max))/(cfg_PBR_max-cfg_PBR_floor))))</f>
        <v/>
      </c>
      <c r="G175" s="17">
        <f>Derived!H175</f>
        <v/>
      </c>
      <c r="H175">
        <f>IF(OR($G175=""),"",MAX(0,MIN(1,MIN($G175,cap_NetCashPct)/cap_NetCashPct)))</f>
        <v/>
      </c>
      <c r="I175" s="15">
        <f>Derived!J175</f>
        <v/>
      </c>
      <c r="J175">
        <f>IF(OR($I175=""),"",MAX(0,MIN(1,($I175-cfg_Liq_min)/(cfg_Liq_cap-cfg_Liq_min))))</f>
        <v/>
      </c>
      <c r="K175" s="17">
        <f>Fundamentals!P175</f>
        <v/>
      </c>
      <c r="L175" s="17">
        <f>Fundamentals!Q175</f>
        <v/>
      </c>
      <c r="M175">
        <f>IF(AND($K175="",$L175=""),"",MIN(1,IF($K175="",0,MIN($K175,cap_DivYield)/cap_DivYield)*0.5+IF($L175="",0,MIN($L175,cap_BuybackYield)/cap_BuybackYield)*0.5))</f>
        <v/>
      </c>
      <c r="N175">
        <f>IF($A175="","",AVERAGE(IF(Fundamentals!R175="",0,Fundamentals!R175),IF(Fundamentals!S175="",0,Fundamentals!S175),IF(Fundamentals!T175="",0,Fundamentals!T175)))</f>
        <v/>
      </c>
      <c r="O175">
        <f>IF($A175="","",MAX(0,MIN(1,$N175)))</f>
        <v/>
      </c>
      <c r="P175" s="18">
        <f>IF($A175="","",ROUND(w_PBR*$F175+w_NetCash*$H175+w_Liq*$J175+w_Return*$M175+w_GovAct*$O175,2))</f>
        <v/>
      </c>
      <c r="Q175" s="19">
        <f>IF($A175="","",$P175+(100000-ROW())/100000000)</f>
        <v/>
      </c>
      <c r="R175">
        <f>IF($A175="","",IF($D175&lt;&gt;1,"",RANK.EQ($Q175,$Q$3:$Q$202,0)))</f>
        <v/>
      </c>
      <c r="S175">
        <f>IF($A175="","",IF($D175=1,"",Derived!L175))</f>
        <v/>
      </c>
      <c r="T175" s="19">
        <f>IF($D175=1,$Q175,"")</f>
        <v/>
      </c>
    </row>
    <row r="176">
      <c r="A176">
        <f>Derived!A176</f>
        <v/>
      </c>
      <c r="B176">
        <f>Derived!B176</f>
        <v/>
      </c>
      <c r="C176">
        <f>Derived!C176</f>
        <v/>
      </c>
      <c r="D176">
        <f>Derived!K176</f>
        <v/>
      </c>
      <c r="E176" s="16">
        <f>Derived!F176</f>
        <v/>
      </c>
      <c r="F176">
        <f>IF(OR($E176=""),"",MAX(0,MIN(1,(cfg_PBR_max-MIN($E176,cfg_PBR_max))/(cfg_PBR_max-cfg_PBR_floor))))</f>
        <v/>
      </c>
      <c r="G176" s="17">
        <f>Derived!H176</f>
        <v/>
      </c>
      <c r="H176">
        <f>IF(OR($G176=""),"",MAX(0,MIN(1,MIN($G176,cap_NetCashPct)/cap_NetCashPct)))</f>
        <v/>
      </c>
      <c r="I176" s="15">
        <f>Derived!J176</f>
        <v/>
      </c>
      <c r="J176">
        <f>IF(OR($I176=""),"",MAX(0,MIN(1,($I176-cfg_Liq_min)/(cfg_Liq_cap-cfg_Liq_min))))</f>
        <v/>
      </c>
      <c r="K176" s="17">
        <f>Fundamentals!P176</f>
        <v/>
      </c>
      <c r="L176" s="17">
        <f>Fundamentals!Q176</f>
        <v/>
      </c>
      <c r="M176">
        <f>IF(AND($K176="",$L176=""),"",MIN(1,IF($K176="",0,MIN($K176,cap_DivYield)/cap_DivYield)*0.5+IF($L176="",0,MIN($L176,cap_BuybackYield)/cap_BuybackYield)*0.5))</f>
        <v/>
      </c>
      <c r="N176">
        <f>IF($A176="","",AVERAGE(IF(Fundamentals!R176="",0,Fundamentals!R176),IF(Fundamentals!S176="",0,Fundamentals!S176),IF(Fundamentals!T176="",0,Fundamentals!T176)))</f>
        <v/>
      </c>
      <c r="O176">
        <f>IF($A176="","",MAX(0,MIN(1,$N176)))</f>
        <v/>
      </c>
      <c r="P176" s="18">
        <f>IF($A176="","",ROUND(w_PBR*$F176+w_NetCash*$H176+w_Liq*$J176+w_Return*$M176+w_GovAct*$O176,2))</f>
        <v/>
      </c>
      <c r="Q176" s="19">
        <f>IF($A176="","",$P176+(100000-ROW())/100000000)</f>
        <v/>
      </c>
      <c r="R176">
        <f>IF($A176="","",IF($D176&lt;&gt;1,"",RANK.EQ($Q176,$Q$3:$Q$202,0)))</f>
        <v/>
      </c>
      <c r="S176">
        <f>IF($A176="","",IF($D176=1,"",Derived!L176))</f>
        <v/>
      </c>
      <c r="T176" s="19">
        <f>IF($D176=1,$Q176,"")</f>
        <v/>
      </c>
    </row>
    <row r="177">
      <c r="A177">
        <f>Derived!A177</f>
        <v/>
      </c>
      <c r="B177">
        <f>Derived!B177</f>
        <v/>
      </c>
      <c r="C177">
        <f>Derived!C177</f>
        <v/>
      </c>
      <c r="D177">
        <f>Derived!K177</f>
        <v/>
      </c>
      <c r="E177" s="16">
        <f>Derived!F177</f>
        <v/>
      </c>
      <c r="F177">
        <f>IF(OR($E177=""),"",MAX(0,MIN(1,(cfg_PBR_max-MIN($E177,cfg_PBR_max))/(cfg_PBR_max-cfg_PBR_floor))))</f>
        <v/>
      </c>
      <c r="G177" s="17">
        <f>Derived!H177</f>
        <v/>
      </c>
      <c r="H177">
        <f>IF(OR($G177=""),"",MAX(0,MIN(1,MIN($G177,cap_NetCashPct)/cap_NetCashPct)))</f>
        <v/>
      </c>
      <c r="I177" s="15">
        <f>Derived!J177</f>
        <v/>
      </c>
      <c r="J177">
        <f>IF(OR($I177=""),"",MAX(0,MIN(1,($I177-cfg_Liq_min)/(cfg_Liq_cap-cfg_Liq_min))))</f>
        <v/>
      </c>
      <c r="K177" s="17">
        <f>Fundamentals!P177</f>
        <v/>
      </c>
      <c r="L177" s="17">
        <f>Fundamentals!Q177</f>
        <v/>
      </c>
      <c r="M177">
        <f>IF(AND($K177="",$L177=""),"",MIN(1,IF($K177="",0,MIN($K177,cap_DivYield)/cap_DivYield)*0.5+IF($L177="",0,MIN($L177,cap_BuybackYield)/cap_BuybackYield)*0.5))</f>
        <v/>
      </c>
      <c r="N177">
        <f>IF($A177="","",AVERAGE(IF(Fundamentals!R177="",0,Fundamentals!R177),IF(Fundamentals!S177="",0,Fundamentals!S177),IF(Fundamentals!T177="",0,Fundamentals!T177)))</f>
        <v/>
      </c>
      <c r="O177">
        <f>IF($A177="","",MAX(0,MIN(1,$N177)))</f>
        <v/>
      </c>
      <c r="P177" s="18">
        <f>IF($A177="","",ROUND(w_PBR*$F177+w_NetCash*$H177+w_Liq*$J177+w_Return*$M177+w_GovAct*$O177,2))</f>
        <v/>
      </c>
      <c r="Q177" s="19">
        <f>IF($A177="","",$P177+(100000-ROW())/100000000)</f>
        <v/>
      </c>
      <c r="R177">
        <f>IF($A177="","",IF($D177&lt;&gt;1,"",RANK.EQ($Q177,$Q$3:$Q$202,0)))</f>
        <v/>
      </c>
      <c r="S177">
        <f>IF($A177="","",IF($D177=1,"",Derived!L177))</f>
        <v/>
      </c>
      <c r="T177" s="19">
        <f>IF($D177=1,$Q177,"")</f>
        <v/>
      </c>
    </row>
    <row r="178">
      <c r="A178">
        <f>Derived!A178</f>
        <v/>
      </c>
      <c r="B178">
        <f>Derived!B178</f>
        <v/>
      </c>
      <c r="C178">
        <f>Derived!C178</f>
        <v/>
      </c>
      <c r="D178">
        <f>Derived!K178</f>
        <v/>
      </c>
      <c r="E178" s="16">
        <f>Derived!F178</f>
        <v/>
      </c>
      <c r="F178">
        <f>IF(OR($E178=""),"",MAX(0,MIN(1,(cfg_PBR_max-MIN($E178,cfg_PBR_max))/(cfg_PBR_max-cfg_PBR_floor))))</f>
        <v/>
      </c>
      <c r="G178" s="17">
        <f>Derived!H178</f>
        <v/>
      </c>
      <c r="H178">
        <f>IF(OR($G178=""),"",MAX(0,MIN(1,MIN($G178,cap_NetCashPct)/cap_NetCashPct)))</f>
        <v/>
      </c>
      <c r="I178" s="15">
        <f>Derived!J178</f>
        <v/>
      </c>
      <c r="J178">
        <f>IF(OR($I178=""),"",MAX(0,MIN(1,($I178-cfg_Liq_min)/(cfg_Liq_cap-cfg_Liq_min))))</f>
        <v/>
      </c>
      <c r="K178" s="17">
        <f>Fundamentals!P178</f>
        <v/>
      </c>
      <c r="L178" s="17">
        <f>Fundamentals!Q178</f>
        <v/>
      </c>
      <c r="M178">
        <f>IF(AND($K178="",$L178=""),"",MIN(1,IF($K178="",0,MIN($K178,cap_DivYield)/cap_DivYield)*0.5+IF($L178="",0,MIN($L178,cap_BuybackYield)/cap_BuybackYield)*0.5))</f>
        <v/>
      </c>
      <c r="N178">
        <f>IF($A178="","",AVERAGE(IF(Fundamentals!R178="",0,Fundamentals!R178),IF(Fundamentals!S178="",0,Fundamentals!S178),IF(Fundamentals!T178="",0,Fundamentals!T178)))</f>
        <v/>
      </c>
      <c r="O178">
        <f>IF($A178="","",MAX(0,MIN(1,$N178)))</f>
        <v/>
      </c>
      <c r="P178" s="18">
        <f>IF($A178="","",ROUND(w_PBR*$F178+w_NetCash*$H178+w_Liq*$J178+w_Return*$M178+w_GovAct*$O178,2))</f>
        <v/>
      </c>
      <c r="Q178" s="19">
        <f>IF($A178="","",$P178+(100000-ROW())/100000000)</f>
        <v/>
      </c>
      <c r="R178">
        <f>IF($A178="","",IF($D178&lt;&gt;1,"",RANK.EQ($Q178,$Q$3:$Q$202,0)))</f>
        <v/>
      </c>
      <c r="S178">
        <f>IF($A178="","",IF($D178=1,"",Derived!L178))</f>
        <v/>
      </c>
      <c r="T178" s="19">
        <f>IF($D178=1,$Q178,"")</f>
        <v/>
      </c>
    </row>
    <row r="179">
      <c r="A179">
        <f>Derived!A179</f>
        <v/>
      </c>
      <c r="B179">
        <f>Derived!B179</f>
        <v/>
      </c>
      <c r="C179">
        <f>Derived!C179</f>
        <v/>
      </c>
      <c r="D179">
        <f>Derived!K179</f>
        <v/>
      </c>
      <c r="E179" s="16">
        <f>Derived!F179</f>
        <v/>
      </c>
      <c r="F179">
        <f>IF(OR($E179=""),"",MAX(0,MIN(1,(cfg_PBR_max-MIN($E179,cfg_PBR_max))/(cfg_PBR_max-cfg_PBR_floor))))</f>
        <v/>
      </c>
      <c r="G179" s="17">
        <f>Derived!H179</f>
        <v/>
      </c>
      <c r="H179">
        <f>IF(OR($G179=""),"",MAX(0,MIN(1,MIN($G179,cap_NetCashPct)/cap_NetCashPct)))</f>
        <v/>
      </c>
      <c r="I179" s="15">
        <f>Derived!J179</f>
        <v/>
      </c>
      <c r="J179">
        <f>IF(OR($I179=""),"",MAX(0,MIN(1,($I179-cfg_Liq_min)/(cfg_Liq_cap-cfg_Liq_min))))</f>
        <v/>
      </c>
      <c r="K179" s="17">
        <f>Fundamentals!P179</f>
        <v/>
      </c>
      <c r="L179" s="17">
        <f>Fundamentals!Q179</f>
        <v/>
      </c>
      <c r="M179">
        <f>IF(AND($K179="",$L179=""),"",MIN(1,IF($K179="",0,MIN($K179,cap_DivYield)/cap_DivYield)*0.5+IF($L179="",0,MIN($L179,cap_BuybackYield)/cap_BuybackYield)*0.5))</f>
        <v/>
      </c>
      <c r="N179">
        <f>IF($A179="","",AVERAGE(IF(Fundamentals!R179="",0,Fundamentals!R179),IF(Fundamentals!S179="",0,Fundamentals!S179),IF(Fundamentals!T179="",0,Fundamentals!T179)))</f>
        <v/>
      </c>
      <c r="O179">
        <f>IF($A179="","",MAX(0,MIN(1,$N179)))</f>
        <v/>
      </c>
      <c r="P179" s="18">
        <f>IF($A179="","",ROUND(w_PBR*$F179+w_NetCash*$H179+w_Liq*$J179+w_Return*$M179+w_GovAct*$O179,2))</f>
        <v/>
      </c>
      <c r="Q179" s="19">
        <f>IF($A179="","",$P179+(100000-ROW())/100000000)</f>
        <v/>
      </c>
      <c r="R179">
        <f>IF($A179="","",IF($D179&lt;&gt;1,"",RANK.EQ($Q179,$Q$3:$Q$202,0)))</f>
        <v/>
      </c>
      <c r="S179">
        <f>IF($A179="","",IF($D179=1,"",Derived!L179))</f>
        <v/>
      </c>
      <c r="T179" s="19">
        <f>IF($D179=1,$Q179,"")</f>
        <v/>
      </c>
    </row>
    <row r="180">
      <c r="A180">
        <f>Derived!A180</f>
        <v/>
      </c>
      <c r="B180">
        <f>Derived!B180</f>
        <v/>
      </c>
      <c r="C180">
        <f>Derived!C180</f>
        <v/>
      </c>
      <c r="D180">
        <f>Derived!K180</f>
        <v/>
      </c>
      <c r="E180" s="16">
        <f>Derived!F180</f>
        <v/>
      </c>
      <c r="F180">
        <f>IF(OR($E180=""),"",MAX(0,MIN(1,(cfg_PBR_max-MIN($E180,cfg_PBR_max))/(cfg_PBR_max-cfg_PBR_floor))))</f>
        <v/>
      </c>
      <c r="G180" s="17">
        <f>Derived!H180</f>
        <v/>
      </c>
      <c r="H180">
        <f>IF(OR($G180=""),"",MAX(0,MIN(1,MIN($G180,cap_NetCashPct)/cap_NetCashPct)))</f>
        <v/>
      </c>
      <c r="I180" s="15">
        <f>Derived!J180</f>
        <v/>
      </c>
      <c r="J180">
        <f>IF(OR($I180=""),"",MAX(0,MIN(1,($I180-cfg_Liq_min)/(cfg_Liq_cap-cfg_Liq_min))))</f>
        <v/>
      </c>
      <c r="K180" s="17">
        <f>Fundamentals!P180</f>
        <v/>
      </c>
      <c r="L180" s="17">
        <f>Fundamentals!Q180</f>
        <v/>
      </c>
      <c r="M180">
        <f>IF(AND($K180="",$L180=""),"",MIN(1,IF($K180="",0,MIN($K180,cap_DivYield)/cap_DivYield)*0.5+IF($L180="",0,MIN($L180,cap_BuybackYield)/cap_BuybackYield)*0.5))</f>
        <v/>
      </c>
      <c r="N180">
        <f>IF($A180="","",AVERAGE(IF(Fundamentals!R180="",0,Fundamentals!R180),IF(Fundamentals!S180="",0,Fundamentals!S180),IF(Fundamentals!T180="",0,Fundamentals!T180)))</f>
        <v/>
      </c>
      <c r="O180">
        <f>IF($A180="","",MAX(0,MIN(1,$N180)))</f>
        <v/>
      </c>
      <c r="P180" s="18">
        <f>IF($A180="","",ROUND(w_PBR*$F180+w_NetCash*$H180+w_Liq*$J180+w_Return*$M180+w_GovAct*$O180,2))</f>
        <v/>
      </c>
      <c r="Q180" s="19">
        <f>IF($A180="","",$P180+(100000-ROW())/100000000)</f>
        <v/>
      </c>
      <c r="R180">
        <f>IF($A180="","",IF($D180&lt;&gt;1,"",RANK.EQ($Q180,$Q$3:$Q$202,0)))</f>
        <v/>
      </c>
      <c r="S180">
        <f>IF($A180="","",IF($D180=1,"",Derived!L180))</f>
        <v/>
      </c>
      <c r="T180" s="19">
        <f>IF($D180=1,$Q180,"")</f>
        <v/>
      </c>
    </row>
    <row r="181">
      <c r="A181">
        <f>Derived!A181</f>
        <v/>
      </c>
      <c r="B181">
        <f>Derived!B181</f>
        <v/>
      </c>
      <c r="C181">
        <f>Derived!C181</f>
        <v/>
      </c>
      <c r="D181">
        <f>Derived!K181</f>
        <v/>
      </c>
      <c r="E181" s="16">
        <f>Derived!F181</f>
        <v/>
      </c>
      <c r="F181">
        <f>IF(OR($E181=""),"",MAX(0,MIN(1,(cfg_PBR_max-MIN($E181,cfg_PBR_max))/(cfg_PBR_max-cfg_PBR_floor))))</f>
        <v/>
      </c>
      <c r="G181" s="17">
        <f>Derived!H181</f>
        <v/>
      </c>
      <c r="H181">
        <f>IF(OR($G181=""),"",MAX(0,MIN(1,MIN($G181,cap_NetCashPct)/cap_NetCashPct)))</f>
        <v/>
      </c>
      <c r="I181" s="15">
        <f>Derived!J181</f>
        <v/>
      </c>
      <c r="J181">
        <f>IF(OR($I181=""),"",MAX(0,MIN(1,($I181-cfg_Liq_min)/(cfg_Liq_cap-cfg_Liq_min))))</f>
        <v/>
      </c>
      <c r="K181" s="17">
        <f>Fundamentals!P181</f>
        <v/>
      </c>
      <c r="L181" s="17">
        <f>Fundamentals!Q181</f>
        <v/>
      </c>
      <c r="M181">
        <f>IF(AND($K181="",$L181=""),"",MIN(1,IF($K181="",0,MIN($K181,cap_DivYield)/cap_DivYield)*0.5+IF($L181="",0,MIN($L181,cap_BuybackYield)/cap_BuybackYield)*0.5))</f>
        <v/>
      </c>
      <c r="N181">
        <f>IF($A181="","",AVERAGE(IF(Fundamentals!R181="",0,Fundamentals!R181),IF(Fundamentals!S181="",0,Fundamentals!S181),IF(Fundamentals!T181="",0,Fundamentals!T181)))</f>
        <v/>
      </c>
      <c r="O181">
        <f>IF($A181="","",MAX(0,MIN(1,$N181)))</f>
        <v/>
      </c>
      <c r="P181" s="18">
        <f>IF($A181="","",ROUND(w_PBR*$F181+w_NetCash*$H181+w_Liq*$J181+w_Return*$M181+w_GovAct*$O181,2))</f>
        <v/>
      </c>
      <c r="Q181" s="19">
        <f>IF($A181="","",$P181+(100000-ROW())/100000000)</f>
        <v/>
      </c>
      <c r="R181">
        <f>IF($A181="","",IF($D181&lt;&gt;1,"",RANK.EQ($Q181,$Q$3:$Q$202,0)))</f>
        <v/>
      </c>
      <c r="S181">
        <f>IF($A181="","",IF($D181=1,"",Derived!L181))</f>
        <v/>
      </c>
      <c r="T181" s="19">
        <f>IF($D181=1,$Q181,"")</f>
        <v/>
      </c>
    </row>
    <row r="182">
      <c r="A182">
        <f>Derived!A182</f>
        <v/>
      </c>
      <c r="B182">
        <f>Derived!B182</f>
        <v/>
      </c>
      <c r="C182">
        <f>Derived!C182</f>
        <v/>
      </c>
      <c r="D182">
        <f>Derived!K182</f>
        <v/>
      </c>
      <c r="E182" s="16">
        <f>Derived!F182</f>
        <v/>
      </c>
      <c r="F182">
        <f>IF(OR($E182=""),"",MAX(0,MIN(1,(cfg_PBR_max-MIN($E182,cfg_PBR_max))/(cfg_PBR_max-cfg_PBR_floor))))</f>
        <v/>
      </c>
      <c r="G182" s="17">
        <f>Derived!H182</f>
        <v/>
      </c>
      <c r="H182">
        <f>IF(OR($G182=""),"",MAX(0,MIN(1,MIN($G182,cap_NetCashPct)/cap_NetCashPct)))</f>
        <v/>
      </c>
      <c r="I182" s="15">
        <f>Derived!J182</f>
        <v/>
      </c>
      <c r="J182">
        <f>IF(OR($I182=""),"",MAX(0,MIN(1,($I182-cfg_Liq_min)/(cfg_Liq_cap-cfg_Liq_min))))</f>
        <v/>
      </c>
      <c r="K182" s="17">
        <f>Fundamentals!P182</f>
        <v/>
      </c>
      <c r="L182" s="17">
        <f>Fundamentals!Q182</f>
        <v/>
      </c>
      <c r="M182">
        <f>IF(AND($K182="",$L182=""),"",MIN(1,IF($K182="",0,MIN($K182,cap_DivYield)/cap_DivYield)*0.5+IF($L182="",0,MIN($L182,cap_BuybackYield)/cap_BuybackYield)*0.5))</f>
        <v/>
      </c>
      <c r="N182">
        <f>IF($A182="","",AVERAGE(IF(Fundamentals!R182="",0,Fundamentals!R182),IF(Fundamentals!S182="",0,Fundamentals!S182),IF(Fundamentals!T182="",0,Fundamentals!T182)))</f>
        <v/>
      </c>
      <c r="O182">
        <f>IF($A182="","",MAX(0,MIN(1,$N182)))</f>
        <v/>
      </c>
      <c r="P182" s="18">
        <f>IF($A182="","",ROUND(w_PBR*$F182+w_NetCash*$H182+w_Liq*$J182+w_Return*$M182+w_GovAct*$O182,2))</f>
        <v/>
      </c>
      <c r="Q182" s="19">
        <f>IF($A182="","",$P182+(100000-ROW())/100000000)</f>
        <v/>
      </c>
      <c r="R182">
        <f>IF($A182="","",IF($D182&lt;&gt;1,"",RANK.EQ($Q182,$Q$3:$Q$202,0)))</f>
        <v/>
      </c>
      <c r="S182">
        <f>IF($A182="","",IF($D182=1,"",Derived!L182))</f>
        <v/>
      </c>
      <c r="T182" s="19">
        <f>IF($D182=1,$Q182,"")</f>
        <v/>
      </c>
    </row>
    <row r="183">
      <c r="A183">
        <f>Derived!A183</f>
        <v/>
      </c>
      <c r="B183">
        <f>Derived!B183</f>
        <v/>
      </c>
      <c r="C183">
        <f>Derived!C183</f>
        <v/>
      </c>
      <c r="D183">
        <f>Derived!K183</f>
        <v/>
      </c>
      <c r="E183" s="16">
        <f>Derived!F183</f>
        <v/>
      </c>
      <c r="F183">
        <f>IF(OR($E183=""),"",MAX(0,MIN(1,(cfg_PBR_max-MIN($E183,cfg_PBR_max))/(cfg_PBR_max-cfg_PBR_floor))))</f>
        <v/>
      </c>
      <c r="G183" s="17">
        <f>Derived!H183</f>
        <v/>
      </c>
      <c r="H183">
        <f>IF(OR($G183=""),"",MAX(0,MIN(1,MIN($G183,cap_NetCashPct)/cap_NetCashPct)))</f>
        <v/>
      </c>
      <c r="I183" s="15">
        <f>Derived!J183</f>
        <v/>
      </c>
      <c r="J183">
        <f>IF(OR($I183=""),"",MAX(0,MIN(1,($I183-cfg_Liq_min)/(cfg_Liq_cap-cfg_Liq_min))))</f>
        <v/>
      </c>
      <c r="K183" s="17">
        <f>Fundamentals!P183</f>
        <v/>
      </c>
      <c r="L183" s="17">
        <f>Fundamentals!Q183</f>
        <v/>
      </c>
      <c r="M183">
        <f>IF(AND($K183="",$L183=""),"",MIN(1,IF($K183="",0,MIN($K183,cap_DivYield)/cap_DivYield)*0.5+IF($L183="",0,MIN($L183,cap_BuybackYield)/cap_BuybackYield)*0.5))</f>
        <v/>
      </c>
      <c r="N183">
        <f>IF($A183="","",AVERAGE(IF(Fundamentals!R183="",0,Fundamentals!R183),IF(Fundamentals!S183="",0,Fundamentals!S183),IF(Fundamentals!T183="",0,Fundamentals!T183)))</f>
        <v/>
      </c>
      <c r="O183">
        <f>IF($A183="","",MAX(0,MIN(1,$N183)))</f>
        <v/>
      </c>
      <c r="P183" s="18">
        <f>IF($A183="","",ROUND(w_PBR*$F183+w_NetCash*$H183+w_Liq*$J183+w_Return*$M183+w_GovAct*$O183,2))</f>
        <v/>
      </c>
      <c r="Q183" s="19">
        <f>IF($A183="","",$P183+(100000-ROW())/100000000)</f>
        <v/>
      </c>
      <c r="R183">
        <f>IF($A183="","",IF($D183&lt;&gt;1,"",RANK.EQ($Q183,$Q$3:$Q$202,0)))</f>
        <v/>
      </c>
      <c r="S183">
        <f>IF($A183="","",IF($D183=1,"",Derived!L183))</f>
        <v/>
      </c>
      <c r="T183" s="19">
        <f>IF($D183=1,$Q183,"")</f>
        <v/>
      </c>
    </row>
    <row r="184">
      <c r="A184">
        <f>Derived!A184</f>
        <v/>
      </c>
      <c r="B184">
        <f>Derived!B184</f>
        <v/>
      </c>
      <c r="C184">
        <f>Derived!C184</f>
        <v/>
      </c>
      <c r="D184">
        <f>Derived!K184</f>
        <v/>
      </c>
      <c r="E184" s="16">
        <f>Derived!F184</f>
        <v/>
      </c>
      <c r="F184">
        <f>IF(OR($E184=""),"",MAX(0,MIN(1,(cfg_PBR_max-MIN($E184,cfg_PBR_max))/(cfg_PBR_max-cfg_PBR_floor))))</f>
        <v/>
      </c>
      <c r="G184" s="17">
        <f>Derived!H184</f>
        <v/>
      </c>
      <c r="H184">
        <f>IF(OR($G184=""),"",MAX(0,MIN(1,MIN($G184,cap_NetCashPct)/cap_NetCashPct)))</f>
        <v/>
      </c>
      <c r="I184" s="15">
        <f>Derived!J184</f>
        <v/>
      </c>
      <c r="J184">
        <f>IF(OR($I184=""),"",MAX(0,MIN(1,($I184-cfg_Liq_min)/(cfg_Liq_cap-cfg_Liq_min))))</f>
        <v/>
      </c>
      <c r="K184" s="17">
        <f>Fundamentals!P184</f>
        <v/>
      </c>
      <c r="L184" s="17">
        <f>Fundamentals!Q184</f>
        <v/>
      </c>
      <c r="M184">
        <f>IF(AND($K184="",$L184=""),"",MIN(1,IF($K184="",0,MIN($K184,cap_DivYield)/cap_DivYield)*0.5+IF($L184="",0,MIN($L184,cap_BuybackYield)/cap_BuybackYield)*0.5))</f>
        <v/>
      </c>
      <c r="N184">
        <f>IF($A184="","",AVERAGE(IF(Fundamentals!R184="",0,Fundamentals!R184),IF(Fundamentals!S184="",0,Fundamentals!S184),IF(Fundamentals!T184="",0,Fundamentals!T184)))</f>
        <v/>
      </c>
      <c r="O184">
        <f>IF($A184="","",MAX(0,MIN(1,$N184)))</f>
        <v/>
      </c>
      <c r="P184" s="18">
        <f>IF($A184="","",ROUND(w_PBR*$F184+w_NetCash*$H184+w_Liq*$J184+w_Return*$M184+w_GovAct*$O184,2))</f>
        <v/>
      </c>
      <c r="Q184" s="19">
        <f>IF($A184="","",$P184+(100000-ROW())/100000000)</f>
        <v/>
      </c>
      <c r="R184">
        <f>IF($A184="","",IF($D184&lt;&gt;1,"",RANK.EQ($Q184,$Q$3:$Q$202,0)))</f>
        <v/>
      </c>
      <c r="S184">
        <f>IF($A184="","",IF($D184=1,"",Derived!L184))</f>
        <v/>
      </c>
      <c r="T184" s="19">
        <f>IF($D184=1,$Q184,"")</f>
        <v/>
      </c>
    </row>
    <row r="185">
      <c r="A185">
        <f>Derived!A185</f>
        <v/>
      </c>
      <c r="B185">
        <f>Derived!B185</f>
        <v/>
      </c>
      <c r="C185">
        <f>Derived!C185</f>
        <v/>
      </c>
      <c r="D185">
        <f>Derived!K185</f>
        <v/>
      </c>
      <c r="E185" s="16">
        <f>Derived!F185</f>
        <v/>
      </c>
      <c r="F185">
        <f>IF(OR($E185=""),"",MAX(0,MIN(1,(cfg_PBR_max-MIN($E185,cfg_PBR_max))/(cfg_PBR_max-cfg_PBR_floor))))</f>
        <v/>
      </c>
      <c r="G185" s="17">
        <f>Derived!H185</f>
        <v/>
      </c>
      <c r="H185">
        <f>IF(OR($G185=""),"",MAX(0,MIN(1,MIN($G185,cap_NetCashPct)/cap_NetCashPct)))</f>
        <v/>
      </c>
      <c r="I185" s="15">
        <f>Derived!J185</f>
        <v/>
      </c>
      <c r="J185">
        <f>IF(OR($I185=""),"",MAX(0,MIN(1,($I185-cfg_Liq_min)/(cfg_Liq_cap-cfg_Liq_min))))</f>
        <v/>
      </c>
      <c r="K185" s="17">
        <f>Fundamentals!P185</f>
        <v/>
      </c>
      <c r="L185" s="17">
        <f>Fundamentals!Q185</f>
        <v/>
      </c>
      <c r="M185">
        <f>IF(AND($K185="",$L185=""),"",MIN(1,IF($K185="",0,MIN($K185,cap_DivYield)/cap_DivYield)*0.5+IF($L185="",0,MIN($L185,cap_BuybackYield)/cap_BuybackYield)*0.5))</f>
        <v/>
      </c>
      <c r="N185">
        <f>IF($A185="","",AVERAGE(IF(Fundamentals!R185="",0,Fundamentals!R185),IF(Fundamentals!S185="",0,Fundamentals!S185),IF(Fundamentals!T185="",0,Fundamentals!T185)))</f>
        <v/>
      </c>
      <c r="O185">
        <f>IF($A185="","",MAX(0,MIN(1,$N185)))</f>
        <v/>
      </c>
      <c r="P185" s="18">
        <f>IF($A185="","",ROUND(w_PBR*$F185+w_NetCash*$H185+w_Liq*$J185+w_Return*$M185+w_GovAct*$O185,2))</f>
        <v/>
      </c>
      <c r="Q185" s="19">
        <f>IF($A185="","",$P185+(100000-ROW())/100000000)</f>
        <v/>
      </c>
      <c r="R185">
        <f>IF($A185="","",IF($D185&lt;&gt;1,"",RANK.EQ($Q185,$Q$3:$Q$202,0)))</f>
        <v/>
      </c>
      <c r="S185">
        <f>IF($A185="","",IF($D185=1,"",Derived!L185))</f>
        <v/>
      </c>
      <c r="T185" s="19">
        <f>IF($D185=1,$Q185,"")</f>
        <v/>
      </c>
    </row>
    <row r="186">
      <c r="A186">
        <f>Derived!A186</f>
        <v/>
      </c>
      <c r="B186">
        <f>Derived!B186</f>
        <v/>
      </c>
      <c r="C186">
        <f>Derived!C186</f>
        <v/>
      </c>
      <c r="D186">
        <f>Derived!K186</f>
        <v/>
      </c>
      <c r="E186" s="16">
        <f>Derived!F186</f>
        <v/>
      </c>
      <c r="F186">
        <f>IF(OR($E186=""),"",MAX(0,MIN(1,(cfg_PBR_max-MIN($E186,cfg_PBR_max))/(cfg_PBR_max-cfg_PBR_floor))))</f>
        <v/>
      </c>
      <c r="G186" s="17">
        <f>Derived!H186</f>
        <v/>
      </c>
      <c r="H186">
        <f>IF(OR($G186=""),"",MAX(0,MIN(1,MIN($G186,cap_NetCashPct)/cap_NetCashPct)))</f>
        <v/>
      </c>
      <c r="I186" s="15">
        <f>Derived!J186</f>
        <v/>
      </c>
      <c r="J186">
        <f>IF(OR($I186=""),"",MAX(0,MIN(1,($I186-cfg_Liq_min)/(cfg_Liq_cap-cfg_Liq_min))))</f>
        <v/>
      </c>
      <c r="K186" s="17">
        <f>Fundamentals!P186</f>
        <v/>
      </c>
      <c r="L186" s="17">
        <f>Fundamentals!Q186</f>
        <v/>
      </c>
      <c r="M186">
        <f>IF(AND($K186="",$L186=""),"",MIN(1,IF($K186="",0,MIN($K186,cap_DivYield)/cap_DivYield)*0.5+IF($L186="",0,MIN($L186,cap_BuybackYield)/cap_BuybackYield)*0.5))</f>
        <v/>
      </c>
      <c r="N186">
        <f>IF($A186="","",AVERAGE(IF(Fundamentals!R186="",0,Fundamentals!R186),IF(Fundamentals!S186="",0,Fundamentals!S186),IF(Fundamentals!T186="",0,Fundamentals!T186)))</f>
        <v/>
      </c>
      <c r="O186">
        <f>IF($A186="","",MAX(0,MIN(1,$N186)))</f>
        <v/>
      </c>
      <c r="P186" s="18">
        <f>IF($A186="","",ROUND(w_PBR*$F186+w_NetCash*$H186+w_Liq*$J186+w_Return*$M186+w_GovAct*$O186,2))</f>
        <v/>
      </c>
      <c r="Q186" s="19">
        <f>IF($A186="","",$P186+(100000-ROW())/100000000)</f>
        <v/>
      </c>
      <c r="R186">
        <f>IF($A186="","",IF($D186&lt;&gt;1,"",RANK.EQ($Q186,$Q$3:$Q$202,0)))</f>
        <v/>
      </c>
      <c r="S186">
        <f>IF($A186="","",IF($D186=1,"",Derived!L186))</f>
        <v/>
      </c>
      <c r="T186" s="19">
        <f>IF($D186=1,$Q186,"")</f>
        <v/>
      </c>
    </row>
    <row r="187">
      <c r="A187">
        <f>Derived!A187</f>
        <v/>
      </c>
      <c r="B187">
        <f>Derived!B187</f>
        <v/>
      </c>
      <c r="C187">
        <f>Derived!C187</f>
        <v/>
      </c>
      <c r="D187">
        <f>Derived!K187</f>
        <v/>
      </c>
      <c r="E187" s="16">
        <f>Derived!F187</f>
        <v/>
      </c>
      <c r="F187">
        <f>IF(OR($E187=""),"",MAX(0,MIN(1,(cfg_PBR_max-MIN($E187,cfg_PBR_max))/(cfg_PBR_max-cfg_PBR_floor))))</f>
        <v/>
      </c>
      <c r="G187" s="17">
        <f>Derived!H187</f>
        <v/>
      </c>
      <c r="H187">
        <f>IF(OR($G187=""),"",MAX(0,MIN(1,MIN($G187,cap_NetCashPct)/cap_NetCashPct)))</f>
        <v/>
      </c>
      <c r="I187" s="15">
        <f>Derived!J187</f>
        <v/>
      </c>
      <c r="J187">
        <f>IF(OR($I187=""),"",MAX(0,MIN(1,($I187-cfg_Liq_min)/(cfg_Liq_cap-cfg_Liq_min))))</f>
        <v/>
      </c>
      <c r="K187" s="17">
        <f>Fundamentals!P187</f>
        <v/>
      </c>
      <c r="L187" s="17">
        <f>Fundamentals!Q187</f>
        <v/>
      </c>
      <c r="M187">
        <f>IF(AND($K187="",$L187=""),"",MIN(1,IF($K187="",0,MIN($K187,cap_DivYield)/cap_DivYield)*0.5+IF($L187="",0,MIN($L187,cap_BuybackYield)/cap_BuybackYield)*0.5))</f>
        <v/>
      </c>
      <c r="N187">
        <f>IF($A187="","",AVERAGE(IF(Fundamentals!R187="",0,Fundamentals!R187),IF(Fundamentals!S187="",0,Fundamentals!S187),IF(Fundamentals!T187="",0,Fundamentals!T187)))</f>
        <v/>
      </c>
      <c r="O187">
        <f>IF($A187="","",MAX(0,MIN(1,$N187)))</f>
        <v/>
      </c>
      <c r="P187" s="18">
        <f>IF($A187="","",ROUND(w_PBR*$F187+w_NetCash*$H187+w_Liq*$J187+w_Return*$M187+w_GovAct*$O187,2))</f>
        <v/>
      </c>
      <c r="Q187" s="19">
        <f>IF($A187="","",$P187+(100000-ROW())/100000000)</f>
        <v/>
      </c>
      <c r="R187">
        <f>IF($A187="","",IF($D187&lt;&gt;1,"",RANK.EQ($Q187,$Q$3:$Q$202,0)))</f>
        <v/>
      </c>
      <c r="S187">
        <f>IF($A187="","",IF($D187=1,"",Derived!L187))</f>
        <v/>
      </c>
      <c r="T187" s="19">
        <f>IF($D187=1,$Q187,"")</f>
        <v/>
      </c>
    </row>
    <row r="188">
      <c r="A188">
        <f>Derived!A188</f>
        <v/>
      </c>
      <c r="B188">
        <f>Derived!B188</f>
        <v/>
      </c>
      <c r="C188">
        <f>Derived!C188</f>
        <v/>
      </c>
      <c r="D188">
        <f>Derived!K188</f>
        <v/>
      </c>
      <c r="E188" s="16">
        <f>Derived!F188</f>
        <v/>
      </c>
      <c r="F188">
        <f>IF(OR($E188=""),"",MAX(0,MIN(1,(cfg_PBR_max-MIN($E188,cfg_PBR_max))/(cfg_PBR_max-cfg_PBR_floor))))</f>
        <v/>
      </c>
      <c r="G188" s="17">
        <f>Derived!H188</f>
        <v/>
      </c>
      <c r="H188">
        <f>IF(OR($G188=""),"",MAX(0,MIN(1,MIN($G188,cap_NetCashPct)/cap_NetCashPct)))</f>
        <v/>
      </c>
      <c r="I188" s="15">
        <f>Derived!J188</f>
        <v/>
      </c>
      <c r="J188">
        <f>IF(OR($I188=""),"",MAX(0,MIN(1,($I188-cfg_Liq_min)/(cfg_Liq_cap-cfg_Liq_min))))</f>
        <v/>
      </c>
      <c r="K188" s="17">
        <f>Fundamentals!P188</f>
        <v/>
      </c>
      <c r="L188" s="17">
        <f>Fundamentals!Q188</f>
        <v/>
      </c>
      <c r="M188">
        <f>IF(AND($K188="",$L188=""),"",MIN(1,IF($K188="",0,MIN($K188,cap_DivYield)/cap_DivYield)*0.5+IF($L188="",0,MIN($L188,cap_BuybackYield)/cap_BuybackYield)*0.5))</f>
        <v/>
      </c>
      <c r="N188">
        <f>IF($A188="","",AVERAGE(IF(Fundamentals!R188="",0,Fundamentals!R188),IF(Fundamentals!S188="",0,Fundamentals!S188),IF(Fundamentals!T188="",0,Fundamentals!T188)))</f>
        <v/>
      </c>
      <c r="O188">
        <f>IF($A188="","",MAX(0,MIN(1,$N188)))</f>
        <v/>
      </c>
      <c r="P188" s="18">
        <f>IF($A188="","",ROUND(w_PBR*$F188+w_NetCash*$H188+w_Liq*$J188+w_Return*$M188+w_GovAct*$O188,2))</f>
        <v/>
      </c>
      <c r="Q188" s="19">
        <f>IF($A188="","",$P188+(100000-ROW())/100000000)</f>
        <v/>
      </c>
      <c r="R188">
        <f>IF($A188="","",IF($D188&lt;&gt;1,"",RANK.EQ($Q188,$Q$3:$Q$202,0)))</f>
        <v/>
      </c>
      <c r="S188">
        <f>IF($A188="","",IF($D188=1,"",Derived!L188))</f>
        <v/>
      </c>
      <c r="T188" s="19">
        <f>IF($D188=1,$Q188,"")</f>
        <v/>
      </c>
    </row>
    <row r="189">
      <c r="A189">
        <f>Derived!A189</f>
        <v/>
      </c>
      <c r="B189">
        <f>Derived!B189</f>
        <v/>
      </c>
      <c r="C189">
        <f>Derived!C189</f>
        <v/>
      </c>
      <c r="D189">
        <f>Derived!K189</f>
        <v/>
      </c>
      <c r="E189" s="16">
        <f>Derived!F189</f>
        <v/>
      </c>
      <c r="F189">
        <f>IF(OR($E189=""),"",MAX(0,MIN(1,(cfg_PBR_max-MIN($E189,cfg_PBR_max))/(cfg_PBR_max-cfg_PBR_floor))))</f>
        <v/>
      </c>
      <c r="G189" s="17">
        <f>Derived!H189</f>
        <v/>
      </c>
      <c r="H189">
        <f>IF(OR($G189=""),"",MAX(0,MIN(1,MIN($G189,cap_NetCashPct)/cap_NetCashPct)))</f>
        <v/>
      </c>
      <c r="I189" s="15">
        <f>Derived!J189</f>
        <v/>
      </c>
      <c r="J189">
        <f>IF(OR($I189=""),"",MAX(0,MIN(1,($I189-cfg_Liq_min)/(cfg_Liq_cap-cfg_Liq_min))))</f>
        <v/>
      </c>
      <c r="K189" s="17">
        <f>Fundamentals!P189</f>
        <v/>
      </c>
      <c r="L189" s="17">
        <f>Fundamentals!Q189</f>
        <v/>
      </c>
      <c r="M189">
        <f>IF(AND($K189="",$L189=""),"",MIN(1,IF($K189="",0,MIN($K189,cap_DivYield)/cap_DivYield)*0.5+IF($L189="",0,MIN($L189,cap_BuybackYield)/cap_BuybackYield)*0.5))</f>
        <v/>
      </c>
      <c r="N189">
        <f>IF($A189="","",AVERAGE(IF(Fundamentals!R189="",0,Fundamentals!R189),IF(Fundamentals!S189="",0,Fundamentals!S189),IF(Fundamentals!T189="",0,Fundamentals!T189)))</f>
        <v/>
      </c>
      <c r="O189">
        <f>IF($A189="","",MAX(0,MIN(1,$N189)))</f>
        <v/>
      </c>
      <c r="P189" s="18">
        <f>IF($A189="","",ROUND(w_PBR*$F189+w_NetCash*$H189+w_Liq*$J189+w_Return*$M189+w_GovAct*$O189,2))</f>
        <v/>
      </c>
      <c r="Q189" s="19">
        <f>IF($A189="","",$P189+(100000-ROW())/100000000)</f>
        <v/>
      </c>
      <c r="R189">
        <f>IF($A189="","",IF($D189&lt;&gt;1,"",RANK.EQ($Q189,$Q$3:$Q$202,0)))</f>
        <v/>
      </c>
      <c r="S189">
        <f>IF($A189="","",IF($D189=1,"",Derived!L189))</f>
        <v/>
      </c>
      <c r="T189" s="19">
        <f>IF($D189=1,$Q189,"")</f>
        <v/>
      </c>
    </row>
    <row r="190">
      <c r="A190">
        <f>Derived!A190</f>
        <v/>
      </c>
      <c r="B190">
        <f>Derived!B190</f>
        <v/>
      </c>
      <c r="C190">
        <f>Derived!C190</f>
        <v/>
      </c>
      <c r="D190">
        <f>Derived!K190</f>
        <v/>
      </c>
      <c r="E190" s="16">
        <f>Derived!F190</f>
        <v/>
      </c>
      <c r="F190">
        <f>IF(OR($E190=""),"",MAX(0,MIN(1,(cfg_PBR_max-MIN($E190,cfg_PBR_max))/(cfg_PBR_max-cfg_PBR_floor))))</f>
        <v/>
      </c>
      <c r="G190" s="17">
        <f>Derived!H190</f>
        <v/>
      </c>
      <c r="H190">
        <f>IF(OR($G190=""),"",MAX(0,MIN(1,MIN($G190,cap_NetCashPct)/cap_NetCashPct)))</f>
        <v/>
      </c>
      <c r="I190" s="15">
        <f>Derived!J190</f>
        <v/>
      </c>
      <c r="J190">
        <f>IF(OR($I190=""),"",MAX(0,MIN(1,($I190-cfg_Liq_min)/(cfg_Liq_cap-cfg_Liq_min))))</f>
        <v/>
      </c>
      <c r="K190" s="17">
        <f>Fundamentals!P190</f>
        <v/>
      </c>
      <c r="L190" s="17">
        <f>Fundamentals!Q190</f>
        <v/>
      </c>
      <c r="M190">
        <f>IF(AND($K190="",$L190=""),"",MIN(1,IF($K190="",0,MIN($K190,cap_DivYield)/cap_DivYield)*0.5+IF($L190="",0,MIN($L190,cap_BuybackYield)/cap_BuybackYield)*0.5))</f>
        <v/>
      </c>
      <c r="N190">
        <f>IF($A190="","",AVERAGE(IF(Fundamentals!R190="",0,Fundamentals!R190),IF(Fundamentals!S190="",0,Fundamentals!S190),IF(Fundamentals!T190="",0,Fundamentals!T190)))</f>
        <v/>
      </c>
      <c r="O190">
        <f>IF($A190="","",MAX(0,MIN(1,$N190)))</f>
        <v/>
      </c>
      <c r="P190" s="18">
        <f>IF($A190="","",ROUND(w_PBR*$F190+w_NetCash*$H190+w_Liq*$J190+w_Return*$M190+w_GovAct*$O190,2))</f>
        <v/>
      </c>
      <c r="Q190" s="19">
        <f>IF($A190="","",$P190+(100000-ROW())/100000000)</f>
        <v/>
      </c>
      <c r="R190">
        <f>IF($A190="","",IF($D190&lt;&gt;1,"",RANK.EQ($Q190,$Q$3:$Q$202,0)))</f>
        <v/>
      </c>
      <c r="S190">
        <f>IF($A190="","",IF($D190=1,"",Derived!L190))</f>
        <v/>
      </c>
      <c r="T190" s="19">
        <f>IF($D190=1,$Q190,"")</f>
        <v/>
      </c>
    </row>
    <row r="191">
      <c r="A191">
        <f>Derived!A191</f>
        <v/>
      </c>
      <c r="B191">
        <f>Derived!B191</f>
        <v/>
      </c>
      <c r="C191">
        <f>Derived!C191</f>
        <v/>
      </c>
      <c r="D191">
        <f>Derived!K191</f>
        <v/>
      </c>
      <c r="E191" s="16">
        <f>Derived!F191</f>
        <v/>
      </c>
      <c r="F191">
        <f>IF(OR($E191=""),"",MAX(0,MIN(1,(cfg_PBR_max-MIN($E191,cfg_PBR_max))/(cfg_PBR_max-cfg_PBR_floor))))</f>
        <v/>
      </c>
      <c r="G191" s="17">
        <f>Derived!H191</f>
        <v/>
      </c>
      <c r="H191">
        <f>IF(OR($G191=""),"",MAX(0,MIN(1,MIN($G191,cap_NetCashPct)/cap_NetCashPct)))</f>
        <v/>
      </c>
      <c r="I191" s="15">
        <f>Derived!J191</f>
        <v/>
      </c>
      <c r="J191">
        <f>IF(OR($I191=""),"",MAX(0,MIN(1,($I191-cfg_Liq_min)/(cfg_Liq_cap-cfg_Liq_min))))</f>
        <v/>
      </c>
      <c r="K191" s="17">
        <f>Fundamentals!P191</f>
        <v/>
      </c>
      <c r="L191" s="17">
        <f>Fundamentals!Q191</f>
        <v/>
      </c>
      <c r="M191">
        <f>IF(AND($K191="",$L191=""),"",MIN(1,IF($K191="",0,MIN($K191,cap_DivYield)/cap_DivYield)*0.5+IF($L191="",0,MIN($L191,cap_BuybackYield)/cap_BuybackYield)*0.5))</f>
        <v/>
      </c>
      <c r="N191">
        <f>IF($A191="","",AVERAGE(IF(Fundamentals!R191="",0,Fundamentals!R191),IF(Fundamentals!S191="",0,Fundamentals!S191),IF(Fundamentals!T191="",0,Fundamentals!T191)))</f>
        <v/>
      </c>
      <c r="O191">
        <f>IF($A191="","",MAX(0,MIN(1,$N191)))</f>
        <v/>
      </c>
      <c r="P191" s="18">
        <f>IF($A191="","",ROUND(w_PBR*$F191+w_NetCash*$H191+w_Liq*$J191+w_Return*$M191+w_GovAct*$O191,2))</f>
        <v/>
      </c>
      <c r="Q191" s="19">
        <f>IF($A191="","",$P191+(100000-ROW())/100000000)</f>
        <v/>
      </c>
      <c r="R191">
        <f>IF($A191="","",IF($D191&lt;&gt;1,"",RANK.EQ($Q191,$Q$3:$Q$202,0)))</f>
        <v/>
      </c>
      <c r="S191">
        <f>IF($A191="","",IF($D191=1,"",Derived!L191))</f>
        <v/>
      </c>
      <c r="T191" s="19">
        <f>IF($D191=1,$Q191,"")</f>
        <v/>
      </c>
    </row>
    <row r="192">
      <c r="A192">
        <f>Derived!A192</f>
        <v/>
      </c>
      <c r="B192">
        <f>Derived!B192</f>
        <v/>
      </c>
      <c r="C192">
        <f>Derived!C192</f>
        <v/>
      </c>
      <c r="D192">
        <f>Derived!K192</f>
        <v/>
      </c>
      <c r="E192" s="16">
        <f>Derived!F192</f>
        <v/>
      </c>
      <c r="F192">
        <f>IF(OR($E192=""),"",MAX(0,MIN(1,(cfg_PBR_max-MIN($E192,cfg_PBR_max))/(cfg_PBR_max-cfg_PBR_floor))))</f>
        <v/>
      </c>
      <c r="G192" s="17">
        <f>Derived!H192</f>
        <v/>
      </c>
      <c r="H192">
        <f>IF(OR($G192=""),"",MAX(0,MIN(1,MIN($G192,cap_NetCashPct)/cap_NetCashPct)))</f>
        <v/>
      </c>
      <c r="I192" s="15">
        <f>Derived!J192</f>
        <v/>
      </c>
      <c r="J192">
        <f>IF(OR($I192=""),"",MAX(0,MIN(1,($I192-cfg_Liq_min)/(cfg_Liq_cap-cfg_Liq_min))))</f>
        <v/>
      </c>
      <c r="K192" s="17">
        <f>Fundamentals!P192</f>
        <v/>
      </c>
      <c r="L192" s="17">
        <f>Fundamentals!Q192</f>
        <v/>
      </c>
      <c r="M192">
        <f>IF(AND($K192="",$L192=""),"",MIN(1,IF($K192="",0,MIN($K192,cap_DivYield)/cap_DivYield)*0.5+IF($L192="",0,MIN($L192,cap_BuybackYield)/cap_BuybackYield)*0.5))</f>
        <v/>
      </c>
      <c r="N192">
        <f>IF($A192="","",AVERAGE(IF(Fundamentals!R192="",0,Fundamentals!R192),IF(Fundamentals!S192="",0,Fundamentals!S192),IF(Fundamentals!T192="",0,Fundamentals!T192)))</f>
        <v/>
      </c>
      <c r="O192">
        <f>IF($A192="","",MAX(0,MIN(1,$N192)))</f>
        <v/>
      </c>
      <c r="P192" s="18">
        <f>IF($A192="","",ROUND(w_PBR*$F192+w_NetCash*$H192+w_Liq*$J192+w_Return*$M192+w_GovAct*$O192,2))</f>
        <v/>
      </c>
      <c r="Q192" s="19">
        <f>IF($A192="","",$P192+(100000-ROW())/100000000)</f>
        <v/>
      </c>
      <c r="R192">
        <f>IF($A192="","",IF($D192&lt;&gt;1,"",RANK.EQ($Q192,$Q$3:$Q$202,0)))</f>
        <v/>
      </c>
      <c r="S192">
        <f>IF($A192="","",IF($D192=1,"",Derived!L192))</f>
        <v/>
      </c>
      <c r="T192" s="19">
        <f>IF($D192=1,$Q192,"")</f>
        <v/>
      </c>
    </row>
    <row r="193">
      <c r="A193">
        <f>Derived!A193</f>
        <v/>
      </c>
      <c r="B193">
        <f>Derived!B193</f>
        <v/>
      </c>
      <c r="C193">
        <f>Derived!C193</f>
        <v/>
      </c>
      <c r="D193">
        <f>Derived!K193</f>
        <v/>
      </c>
      <c r="E193" s="16">
        <f>Derived!F193</f>
        <v/>
      </c>
      <c r="F193">
        <f>IF(OR($E193=""),"",MAX(0,MIN(1,(cfg_PBR_max-MIN($E193,cfg_PBR_max))/(cfg_PBR_max-cfg_PBR_floor))))</f>
        <v/>
      </c>
      <c r="G193" s="17">
        <f>Derived!H193</f>
        <v/>
      </c>
      <c r="H193">
        <f>IF(OR($G193=""),"",MAX(0,MIN(1,MIN($G193,cap_NetCashPct)/cap_NetCashPct)))</f>
        <v/>
      </c>
      <c r="I193" s="15">
        <f>Derived!J193</f>
        <v/>
      </c>
      <c r="J193">
        <f>IF(OR($I193=""),"",MAX(0,MIN(1,($I193-cfg_Liq_min)/(cfg_Liq_cap-cfg_Liq_min))))</f>
        <v/>
      </c>
      <c r="K193" s="17">
        <f>Fundamentals!P193</f>
        <v/>
      </c>
      <c r="L193" s="17">
        <f>Fundamentals!Q193</f>
        <v/>
      </c>
      <c r="M193">
        <f>IF(AND($K193="",$L193=""),"",MIN(1,IF($K193="",0,MIN($K193,cap_DivYield)/cap_DivYield)*0.5+IF($L193="",0,MIN($L193,cap_BuybackYield)/cap_BuybackYield)*0.5))</f>
        <v/>
      </c>
      <c r="N193">
        <f>IF($A193="","",AVERAGE(IF(Fundamentals!R193="",0,Fundamentals!R193),IF(Fundamentals!S193="",0,Fundamentals!S193),IF(Fundamentals!T193="",0,Fundamentals!T193)))</f>
        <v/>
      </c>
      <c r="O193">
        <f>IF($A193="","",MAX(0,MIN(1,$N193)))</f>
        <v/>
      </c>
      <c r="P193" s="18">
        <f>IF($A193="","",ROUND(w_PBR*$F193+w_NetCash*$H193+w_Liq*$J193+w_Return*$M193+w_GovAct*$O193,2))</f>
        <v/>
      </c>
      <c r="Q193" s="19">
        <f>IF($A193="","",$P193+(100000-ROW())/100000000)</f>
        <v/>
      </c>
      <c r="R193">
        <f>IF($A193="","",IF($D193&lt;&gt;1,"",RANK.EQ($Q193,$Q$3:$Q$202,0)))</f>
        <v/>
      </c>
      <c r="S193">
        <f>IF($A193="","",IF($D193=1,"",Derived!L193))</f>
        <v/>
      </c>
      <c r="T193" s="19">
        <f>IF($D193=1,$Q193,"")</f>
        <v/>
      </c>
    </row>
    <row r="194">
      <c r="A194">
        <f>Derived!A194</f>
        <v/>
      </c>
      <c r="B194">
        <f>Derived!B194</f>
        <v/>
      </c>
      <c r="C194">
        <f>Derived!C194</f>
        <v/>
      </c>
      <c r="D194">
        <f>Derived!K194</f>
        <v/>
      </c>
      <c r="E194" s="16">
        <f>Derived!F194</f>
        <v/>
      </c>
      <c r="F194">
        <f>IF(OR($E194=""),"",MAX(0,MIN(1,(cfg_PBR_max-MIN($E194,cfg_PBR_max))/(cfg_PBR_max-cfg_PBR_floor))))</f>
        <v/>
      </c>
      <c r="G194" s="17">
        <f>Derived!H194</f>
        <v/>
      </c>
      <c r="H194">
        <f>IF(OR($G194=""),"",MAX(0,MIN(1,MIN($G194,cap_NetCashPct)/cap_NetCashPct)))</f>
        <v/>
      </c>
      <c r="I194" s="15">
        <f>Derived!J194</f>
        <v/>
      </c>
      <c r="J194">
        <f>IF(OR($I194=""),"",MAX(0,MIN(1,($I194-cfg_Liq_min)/(cfg_Liq_cap-cfg_Liq_min))))</f>
        <v/>
      </c>
      <c r="K194" s="17">
        <f>Fundamentals!P194</f>
        <v/>
      </c>
      <c r="L194" s="17">
        <f>Fundamentals!Q194</f>
        <v/>
      </c>
      <c r="M194">
        <f>IF(AND($K194="",$L194=""),"",MIN(1,IF($K194="",0,MIN($K194,cap_DivYield)/cap_DivYield)*0.5+IF($L194="",0,MIN($L194,cap_BuybackYield)/cap_BuybackYield)*0.5))</f>
        <v/>
      </c>
      <c r="N194">
        <f>IF($A194="","",AVERAGE(IF(Fundamentals!R194="",0,Fundamentals!R194),IF(Fundamentals!S194="",0,Fundamentals!S194),IF(Fundamentals!T194="",0,Fundamentals!T194)))</f>
        <v/>
      </c>
      <c r="O194">
        <f>IF($A194="","",MAX(0,MIN(1,$N194)))</f>
        <v/>
      </c>
      <c r="P194" s="18">
        <f>IF($A194="","",ROUND(w_PBR*$F194+w_NetCash*$H194+w_Liq*$J194+w_Return*$M194+w_GovAct*$O194,2))</f>
        <v/>
      </c>
      <c r="Q194" s="19">
        <f>IF($A194="","",$P194+(100000-ROW())/100000000)</f>
        <v/>
      </c>
      <c r="R194">
        <f>IF($A194="","",IF($D194&lt;&gt;1,"",RANK.EQ($Q194,$Q$3:$Q$202,0)))</f>
        <v/>
      </c>
      <c r="S194">
        <f>IF($A194="","",IF($D194=1,"",Derived!L194))</f>
        <v/>
      </c>
      <c r="T194" s="19">
        <f>IF($D194=1,$Q194,"")</f>
        <v/>
      </c>
    </row>
    <row r="195">
      <c r="A195">
        <f>Derived!A195</f>
        <v/>
      </c>
      <c r="B195">
        <f>Derived!B195</f>
        <v/>
      </c>
      <c r="C195">
        <f>Derived!C195</f>
        <v/>
      </c>
      <c r="D195">
        <f>Derived!K195</f>
        <v/>
      </c>
      <c r="E195" s="16">
        <f>Derived!F195</f>
        <v/>
      </c>
      <c r="F195">
        <f>IF(OR($E195=""),"",MAX(0,MIN(1,(cfg_PBR_max-MIN($E195,cfg_PBR_max))/(cfg_PBR_max-cfg_PBR_floor))))</f>
        <v/>
      </c>
      <c r="G195" s="17">
        <f>Derived!H195</f>
        <v/>
      </c>
      <c r="H195">
        <f>IF(OR($G195=""),"",MAX(0,MIN(1,MIN($G195,cap_NetCashPct)/cap_NetCashPct)))</f>
        <v/>
      </c>
      <c r="I195" s="15">
        <f>Derived!J195</f>
        <v/>
      </c>
      <c r="J195">
        <f>IF(OR($I195=""),"",MAX(0,MIN(1,($I195-cfg_Liq_min)/(cfg_Liq_cap-cfg_Liq_min))))</f>
        <v/>
      </c>
      <c r="K195" s="17">
        <f>Fundamentals!P195</f>
        <v/>
      </c>
      <c r="L195" s="17">
        <f>Fundamentals!Q195</f>
        <v/>
      </c>
      <c r="M195">
        <f>IF(AND($K195="",$L195=""),"",MIN(1,IF($K195="",0,MIN($K195,cap_DivYield)/cap_DivYield)*0.5+IF($L195="",0,MIN($L195,cap_BuybackYield)/cap_BuybackYield)*0.5))</f>
        <v/>
      </c>
      <c r="N195">
        <f>IF($A195="","",AVERAGE(IF(Fundamentals!R195="",0,Fundamentals!R195),IF(Fundamentals!S195="",0,Fundamentals!S195),IF(Fundamentals!T195="",0,Fundamentals!T195)))</f>
        <v/>
      </c>
      <c r="O195">
        <f>IF($A195="","",MAX(0,MIN(1,$N195)))</f>
        <v/>
      </c>
      <c r="P195" s="18">
        <f>IF($A195="","",ROUND(w_PBR*$F195+w_NetCash*$H195+w_Liq*$J195+w_Return*$M195+w_GovAct*$O195,2))</f>
        <v/>
      </c>
      <c r="Q195" s="19">
        <f>IF($A195="","",$P195+(100000-ROW())/100000000)</f>
        <v/>
      </c>
      <c r="R195">
        <f>IF($A195="","",IF($D195&lt;&gt;1,"",RANK.EQ($Q195,$Q$3:$Q$202,0)))</f>
        <v/>
      </c>
      <c r="S195">
        <f>IF($A195="","",IF($D195=1,"",Derived!L195))</f>
        <v/>
      </c>
      <c r="T195" s="19">
        <f>IF($D195=1,$Q195,"")</f>
        <v/>
      </c>
    </row>
    <row r="196">
      <c r="A196">
        <f>Derived!A196</f>
        <v/>
      </c>
      <c r="B196">
        <f>Derived!B196</f>
        <v/>
      </c>
      <c r="C196">
        <f>Derived!C196</f>
        <v/>
      </c>
      <c r="D196">
        <f>Derived!K196</f>
        <v/>
      </c>
      <c r="E196" s="16">
        <f>Derived!F196</f>
        <v/>
      </c>
      <c r="F196">
        <f>IF(OR($E196=""),"",MAX(0,MIN(1,(cfg_PBR_max-MIN($E196,cfg_PBR_max))/(cfg_PBR_max-cfg_PBR_floor))))</f>
        <v/>
      </c>
      <c r="G196" s="17">
        <f>Derived!H196</f>
        <v/>
      </c>
      <c r="H196">
        <f>IF(OR($G196=""),"",MAX(0,MIN(1,MIN($G196,cap_NetCashPct)/cap_NetCashPct)))</f>
        <v/>
      </c>
      <c r="I196" s="15">
        <f>Derived!J196</f>
        <v/>
      </c>
      <c r="J196">
        <f>IF(OR($I196=""),"",MAX(0,MIN(1,($I196-cfg_Liq_min)/(cfg_Liq_cap-cfg_Liq_min))))</f>
        <v/>
      </c>
      <c r="K196" s="17">
        <f>Fundamentals!P196</f>
        <v/>
      </c>
      <c r="L196" s="17">
        <f>Fundamentals!Q196</f>
        <v/>
      </c>
      <c r="M196">
        <f>IF(AND($K196="",$L196=""),"",MIN(1,IF($K196="",0,MIN($K196,cap_DivYield)/cap_DivYield)*0.5+IF($L196="",0,MIN($L196,cap_BuybackYield)/cap_BuybackYield)*0.5))</f>
        <v/>
      </c>
      <c r="N196">
        <f>IF($A196="","",AVERAGE(IF(Fundamentals!R196="",0,Fundamentals!R196),IF(Fundamentals!S196="",0,Fundamentals!S196),IF(Fundamentals!T196="",0,Fundamentals!T196)))</f>
        <v/>
      </c>
      <c r="O196">
        <f>IF($A196="","",MAX(0,MIN(1,$N196)))</f>
        <v/>
      </c>
      <c r="P196" s="18">
        <f>IF($A196="","",ROUND(w_PBR*$F196+w_NetCash*$H196+w_Liq*$J196+w_Return*$M196+w_GovAct*$O196,2))</f>
        <v/>
      </c>
      <c r="Q196" s="19">
        <f>IF($A196="","",$P196+(100000-ROW())/100000000)</f>
        <v/>
      </c>
      <c r="R196">
        <f>IF($A196="","",IF($D196&lt;&gt;1,"",RANK.EQ($Q196,$Q$3:$Q$202,0)))</f>
        <v/>
      </c>
      <c r="S196">
        <f>IF($A196="","",IF($D196=1,"",Derived!L196))</f>
        <v/>
      </c>
      <c r="T196" s="19">
        <f>IF($D196=1,$Q196,"")</f>
        <v/>
      </c>
    </row>
    <row r="197">
      <c r="A197">
        <f>Derived!A197</f>
        <v/>
      </c>
      <c r="B197">
        <f>Derived!B197</f>
        <v/>
      </c>
      <c r="C197">
        <f>Derived!C197</f>
        <v/>
      </c>
      <c r="D197">
        <f>Derived!K197</f>
        <v/>
      </c>
      <c r="E197" s="16">
        <f>Derived!F197</f>
        <v/>
      </c>
      <c r="F197">
        <f>IF(OR($E197=""),"",MAX(0,MIN(1,(cfg_PBR_max-MIN($E197,cfg_PBR_max))/(cfg_PBR_max-cfg_PBR_floor))))</f>
        <v/>
      </c>
      <c r="G197" s="17">
        <f>Derived!H197</f>
        <v/>
      </c>
      <c r="H197">
        <f>IF(OR($G197=""),"",MAX(0,MIN(1,MIN($G197,cap_NetCashPct)/cap_NetCashPct)))</f>
        <v/>
      </c>
      <c r="I197" s="15">
        <f>Derived!J197</f>
        <v/>
      </c>
      <c r="J197">
        <f>IF(OR($I197=""),"",MAX(0,MIN(1,($I197-cfg_Liq_min)/(cfg_Liq_cap-cfg_Liq_min))))</f>
        <v/>
      </c>
      <c r="K197" s="17">
        <f>Fundamentals!P197</f>
        <v/>
      </c>
      <c r="L197" s="17">
        <f>Fundamentals!Q197</f>
        <v/>
      </c>
      <c r="M197">
        <f>IF(AND($K197="",$L197=""),"",MIN(1,IF($K197="",0,MIN($K197,cap_DivYield)/cap_DivYield)*0.5+IF($L197="",0,MIN($L197,cap_BuybackYield)/cap_BuybackYield)*0.5))</f>
        <v/>
      </c>
      <c r="N197">
        <f>IF($A197="","",AVERAGE(IF(Fundamentals!R197="",0,Fundamentals!R197),IF(Fundamentals!S197="",0,Fundamentals!S197),IF(Fundamentals!T197="",0,Fundamentals!T197)))</f>
        <v/>
      </c>
      <c r="O197">
        <f>IF($A197="","",MAX(0,MIN(1,$N197)))</f>
        <v/>
      </c>
      <c r="P197" s="18">
        <f>IF($A197="","",ROUND(w_PBR*$F197+w_NetCash*$H197+w_Liq*$J197+w_Return*$M197+w_GovAct*$O197,2))</f>
        <v/>
      </c>
      <c r="Q197" s="19">
        <f>IF($A197="","",$P197+(100000-ROW())/100000000)</f>
        <v/>
      </c>
      <c r="R197">
        <f>IF($A197="","",IF($D197&lt;&gt;1,"",RANK.EQ($Q197,$Q$3:$Q$202,0)))</f>
        <v/>
      </c>
      <c r="S197">
        <f>IF($A197="","",IF($D197=1,"",Derived!L197))</f>
        <v/>
      </c>
      <c r="T197" s="19">
        <f>IF($D197=1,$Q197,"")</f>
        <v/>
      </c>
    </row>
    <row r="198">
      <c r="A198">
        <f>Derived!A198</f>
        <v/>
      </c>
      <c r="B198">
        <f>Derived!B198</f>
        <v/>
      </c>
      <c r="C198">
        <f>Derived!C198</f>
        <v/>
      </c>
      <c r="D198">
        <f>Derived!K198</f>
        <v/>
      </c>
      <c r="E198" s="16">
        <f>Derived!F198</f>
        <v/>
      </c>
      <c r="F198">
        <f>IF(OR($E198=""),"",MAX(0,MIN(1,(cfg_PBR_max-MIN($E198,cfg_PBR_max))/(cfg_PBR_max-cfg_PBR_floor))))</f>
        <v/>
      </c>
      <c r="G198" s="17">
        <f>Derived!H198</f>
        <v/>
      </c>
      <c r="H198">
        <f>IF(OR($G198=""),"",MAX(0,MIN(1,MIN($G198,cap_NetCashPct)/cap_NetCashPct)))</f>
        <v/>
      </c>
      <c r="I198" s="15">
        <f>Derived!J198</f>
        <v/>
      </c>
      <c r="J198">
        <f>IF(OR($I198=""),"",MAX(0,MIN(1,($I198-cfg_Liq_min)/(cfg_Liq_cap-cfg_Liq_min))))</f>
        <v/>
      </c>
      <c r="K198" s="17">
        <f>Fundamentals!P198</f>
        <v/>
      </c>
      <c r="L198" s="17">
        <f>Fundamentals!Q198</f>
        <v/>
      </c>
      <c r="M198">
        <f>IF(AND($K198="",$L198=""),"",MIN(1,IF($K198="",0,MIN($K198,cap_DivYield)/cap_DivYield)*0.5+IF($L198="",0,MIN($L198,cap_BuybackYield)/cap_BuybackYield)*0.5))</f>
        <v/>
      </c>
      <c r="N198">
        <f>IF($A198="","",AVERAGE(IF(Fundamentals!R198="",0,Fundamentals!R198),IF(Fundamentals!S198="",0,Fundamentals!S198),IF(Fundamentals!T198="",0,Fundamentals!T198)))</f>
        <v/>
      </c>
      <c r="O198">
        <f>IF($A198="","",MAX(0,MIN(1,$N198)))</f>
        <v/>
      </c>
      <c r="P198" s="18">
        <f>IF($A198="","",ROUND(w_PBR*$F198+w_NetCash*$H198+w_Liq*$J198+w_Return*$M198+w_GovAct*$O198,2))</f>
        <v/>
      </c>
      <c r="Q198" s="19">
        <f>IF($A198="","",$P198+(100000-ROW())/100000000)</f>
        <v/>
      </c>
      <c r="R198">
        <f>IF($A198="","",IF($D198&lt;&gt;1,"",RANK.EQ($Q198,$Q$3:$Q$202,0)))</f>
        <v/>
      </c>
      <c r="S198">
        <f>IF($A198="","",IF($D198=1,"",Derived!L198))</f>
        <v/>
      </c>
      <c r="T198" s="19">
        <f>IF($D198=1,$Q198,"")</f>
        <v/>
      </c>
    </row>
    <row r="199">
      <c r="A199">
        <f>Derived!A199</f>
        <v/>
      </c>
      <c r="B199">
        <f>Derived!B199</f>
        <v/>
      </c>
      <c r="C199">
        <f>Derived!C199</f>
        <v/>
      </c>
      <c r="D199">
        <f>Derived!K199</f>
        <v/>
      </c>
      <c r="E199" s="16">
        <f>Derived!F199</f>
        <v/>
      </c>
      <c r="F199">
        <f>IF(OR($E199=""),"",MAX(0,MIN(1,(cfg_PBR_max-MIN($E199,cfg_PBR_max))/(cfg_PBR_max-cfg_PBR_floor))))</f>
        <v/>
      </c>
      <c r="G199" s="17">
        <f>Derived!H199</f>
        <v/>
      </c>
      <c r="H199">
        <f>IF(OR($G199=""),"",MAX(0,MIN(1,MIN($G199,cap_NetCashPct)/cap_NetCashPct)))</f>
        <v/>
      </c>
      <c r="I199" s="15">
        <f>Derived!J199</f>
        <v/>
      </c>
      <c r="J199">
        <f>IF(OR($I199=""),"",MAX(0,MIN(1,($I199-cfg_Liq_min)/(cfg_Liq_cap-cfg_Liq_min))))</f>
        <v/>
      </c>
      <c r="K199" s="17">
        <f>Fundamentals!P199</f>
        <v/>
      </c>
      <c r="L199" s="17">
        <f>Fundamentals!Q199</f>
        <v/>
      </c>
      <c r="M199">
        <f>IF(AND($K199="",$L199=""),"",MIN(1,IF($K199="",0,MIN($K199,cap_DivYield)/cap_DivYield)*0.5+IF($L199="",0,MIN($L199,cap_BuybackYield)/cap_BuybackYield)*0.5))</f>
        <v/>
      </c>
      <c r="N199">
        <f>IF($A199="","",AVERAGE(IF(Fundamentals!R199="",0,Fundamentals!R199),IF(Fundamentals!S199="",0,Fundamentals!S199),IF(Fundamentals!T199="",0,Fundamentals!T199)))</f>
        <v/>
      </c>
      <c r="O199">
        <f>IF($A199="","",MAX(0,MIN(1,$N199)))</f>
        <v/>
      </c>
      <c r="P199" s="18">
        <f>IF($A199="","",ROUND(w_PBR*$F199+w_NetCash*$H199+w_Liq*$J199+w_Return*$M199+w_GovAct*$O199,2))</f>
        <v/>
      </c>
      <c r="Q199" s="19">
        <f>IF($A199="","",$P199+(100000-ROW())/100000000)</f>
        <v/>
      </c>
      <c r="R199">
        <f>IF($A199="","",IF($D199&lt;&gt;1,"",RANK.EQ($Q199,$Q$3:$Q$202,0)))</f>
        <v/>
      </c>
      <c r="S199">
        <f>IF($A199="","",IF($D199=1,"",Derived!L199))</f>
        <v/>
      </c>
      <c r="T199" s="19">
        <f>IF($D199=1,$Q199,"")</f>
        <v/>
      </c>
    </row>
    <row r="200">
      <c r="A200">
        <f>Derived!A200</f>
        <v/>
      </c>
      <c r="B200">
        <f>Derived!B200</f>
        <v/>
      </c>
      <c r="C200">
        <f>Derived!C200</f>
        <v/>
      </c>
      <c r="D200">
        <f>Derived!K200</f>
        <v/>
      </c>
      <c r="E200" s="16">
        <f>Derived!F200</f>
        <v/>
      </c>
      <c r="F200">
        <f>IF(OR($E200=""),"",MAX(0,MIN(1,(cfg_PBR_max-MIN($E200,cfg_PBR_max))/(cfg_PBR_max-cfg_PBR_floor))))</f>
        <v/>
      </c>
      <c r="G200" s="17">
        <f>Derived!H200</f>
        <v/>
      </c>
      <c r="H200">
        <f>IF(OR($G200=""),"",MAX(0,MIN(1,MIN($G200,cap_NetCashPct)/cap_NetCashPct)))</f>
        <v/>
      </c>
      <c r="I200" s="15">
        <f>Derived!J200</f>
        <v/>
      </c>
      <c r="J200">
        <f>IF(OR($I200=""),"",MAX(0,MIN(1,($I200-cfg_Liq_min)/(cfg_Liq_cap-cfg_Liq_min))))</f>
        <v/>
      </c>
      <c r="K200" s="17">
        <f>Fundamentals!P200</f>
        <v/>
      </c>
      <c r="L200" s="17">
        <f>Fundamentals!Q200</f>
        <v/>
      </c>
      <c r="M200">
        <f>IF(AND($K200="",$L200=""),"",MIN(1,IF($K200="",0,MIN($K200,cap_DivYield)/cap_DivYield)*0.5+IF($L200="",0,MIN($L200,cap_BuybackYield)/cap_BuybackYield)*0.5))</f>
        <v/>
      </c>
      <c r="N200">
        <f>IF($A200="","",AVERAGE(IF(Fundamentals!R200="",0,Fundamentals!R200),IF(Fundamentals!S200="",0,Fundamentals!S200),IF(Fundamentals!T200="",0,Fundamentals!T200)))</f>
        <v/>
      </c>
      <c r="O200">
        <f>IF($A200="","",MAX(0,MIN(1,$N200)))</f>
        <v/>
      </c>
      <c r="P200" s="18">
        <f>IF($A200="","",ROUND(w_PBR*$F200+w_NetCash*$H200+w_Liq*$J200+w_Return*$M200+w_GovAct*$O200,2))</f>
        <v/>
      </c>
      <c r="Q200" s="19">
        <f>IF($A200="","",$P200+(100000-ROW())/100000000)</f>
        <v/>
      </c>
      <c r="R200">
        <f>IF($A200="","",IF($D200&lt;&gt;1,"",RANK.EQ($Q200,$Q$3:$Q$202,0)))</f>
        <v/>
      </c>
      <c r="S200">
        <f>IF($A200="","",IF($D200=1,"",Derived!L200))</f>
        <v/>
      </c>
      <c r="T200" s="19">
        <f>IF($D200=1,$Q200,"")</f>
        <v/>
      </c>
    </row>
    <row r="201">
      <c r="A201">
        <f>Derived!A201</f>
        <v/>
      </c>
      <c r="B201">
        <f>Derived!B201</f>
        <v/>
      </c>
      <c r="C201">
        <f>Derived!C201</f>
        <v/>
      </c>
      <c r="D201">
        <f>Derived!K201</f>
        <v/>
      </c>
      <c r="E201" s="16">
        <f>Derived!F201</f>
        <v/>
      </c>
      <c r="F201">
        <f>IF(OR($E201=""),"",MAX(0,MIN(1,(cfg_PBR_max-MIN($E201,cfg_PBR_max))/(cfg_PBR_max-cfg_PBR_floor))))</f>
        <v/>
      </c>
      <c r="G201" s="17">
        <f>Derived!H201</f>
        <v/>
      </c>
      <c r="H201">
        <f>IF(OR($G201=""),"",MAX(0,MIN(1,MIN($G201,cap_NetCashPct)/cap_NetCashPct)))</f>
        <v/>
      </c>
      <c r="I201" s="15">
        <f>Derived!J201</f>
        <v/>
      </c>
      <c r="J201">
        <f>IF(OR($I201=""),"",MAX(0,MIN(1,($I201-cfg_Liq_min)/(cfg_Liq_cap-cfg_Liq_min))))</f>
        <v/>
      </c>
      <c r="K201" s="17">
        <f>Fundamentals!P201</f>
        <v/>
      </c>
      <c r="L201" s="17">
        <f>Fundamentals!Q201</f>
        <v/>
      </c>
      <c r="M201">
        <f>IF(AND($K201="",$L201=""),"",MIN(1,IF($K201="",0,MIN($K201,cap_DivYield)/cap_DivYield)*0.5+IF($L201="",0,MIN($L201,cap_BuybackYield)/cap_BuybackYield)*0.5))</f>
        <v/>
      </c>
      <c r="N201">
        <f>IF($A201="","",AVERAGE(IF(Fundamentals!R201="",0,Fundamentals!R201),IF(Fundamentals!S201="",0,Fundamentals!S201),IF(Fundamentals!T201="",0,Fundamentals!T201)))</f>
        <v/>
      </c>
      <c r="O201">
        <f>IF($A201="","",MAX(0,MIN(1,$N201)))</f>
        <v/>
      </c>
      <c r="P201" s="18">
        <f>IF($A201="","",ROUND(w_PBR*$F201+w_NetCash*$H201+w_Liq*$J201+w_Return*$M201+w_GovAct*$O201,2))</f>
        <v/>
      </c>
      <c r="Q201" s="19">
        <f>IF($A201="","",$P201+(100000-ROW())/100000000)</f>
        <v/>
      </c>
      <c r="R201">
        <f>IF($A201="","",IF($D201&lt;&gt;1,"",RANK.EQ($Q201,$Q$3:$Q$202,0)))</f>
        <v/>
      </c>
      <c r="S201">
        <f>IF($A201="","",IF($D201=1,"",Derived!L201))</f>
        <v/>
      </c>
      <c r="T201" s="19">
        <f>IF($D201=1,$Q201,"")</f>
        <v/>
      </c>
    </row>
    <row r="202">
      <c r="A202">
        <f>Derived!A202</f>
        <v/>
      </c>
      <c r="B202">
        <f>Derived!B202</f>
        <v/>
      </c>
      <c r="C202">
        <f>Derived!C202</f>
        <v/>
      </c>
      <c r="D202">
        <f>Derived!K202</f>
        <v/>
      </c>
      <c r="E202" s="16">
        <f>Derived!F202</f>
        <v/>
      </c>
      <c r="F202">
        <f>IF(OR($E202=""),"",MAX(0,MIN(1,(cfg_PBR_max-MIN($E202,cfg_PBR_max))/(cfg_PBR_max-cfg_PBR_floor))))</f>
        <v/>
      </c>
      <c r="G202" s="17">
        <f>Derived!H202</f>
        <v/>
      </c>
      <c r="H202">
        <f>IF(OR($G202=""),"",MAX(0,MIN(1,MIN($G202,cap_NetCashPct)/cap_NetCashPct)))</f>
        <v/>
      </c>
      <c r="I202" s="15">
        <f>Derived!J202</f>
        <v/>
      </c>
      <c r="J202">
        <f>IF(OR($I202=""),"",MAX(0,MIN(1,($I202-cfg_Liq_min)/(cfg_Liq_cap-cfg_Liq_min))))</f>
        <v/>
      </c>
      <c r="K202" s="17">
        <f>Fundamentals!P202</f>
        <v/>
      </c>
      <c r="L202" s="17">
        <f>Fundamentals!Q202</f>
        <v/>
      </c>
      <c r="M202">
        <f>IF(AND($K202="",$L202=""),"",MIN(1,IF($K202="",0,MIN($K202,cap_DivYield)/cap_DivYield)*0.5+IF($L202="",0,MIN($L202,cap_BuybackYield)/cap_BuybackYield)*0.5))</f>
        <v/>
      </c>
      <c r="N202">
        <f>IF($A202="","",AVERAGE(IF(Fundamentals!R202="",0,Fundamentals!R202),IF(Fundamentals!S202="",0,Fundamentals!S202),IF(Fundamentals!T202="",0,Fundamentals!T202)))</f>
        <v/>
      </c>
      <c r="O202">
        <f>IF($A202="","",MAX(0,MIN(1,$N202)))</f>
        <v/>
      </c>
      <c r="P202" s="18">
        <f>IF($A202="","",ROUND(w_PBR*$F202+w_NetCash*$H202+w_Liq*$J202+w_Return*$M202+w_GovAct*$O202,2))</f>
        <v/>
      </c>
      <c r="Q202" s="19">
        <f>IF($A202="","",$P202+(100000-ROW())/100000000)</f>
        <v/>
      </c>
      <c r="R202">
        <f>IF($A202="","",IF($D202&lt;&gt;1,"",RANK.EQ($Q202,$Q$3:$Q$202,0)))</f>
        <v/>
      </c>
      <c r="S202">
        <f>IF($A202="","",IF($D202=1,"",Derived!L202))</f>
        <v/>
      </c>
      <c r="T202" s="19">
        <f>IF($D202=1,$Q202,"")</f>
        <v/>
      </c>
    </row>
  </sheetData>
  <autoFilter ref="A2:T2"/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12" customWidth="1" min="4" max="4"/>
    <col width="10" customWidth="1" min="5" max="5"/>
    <col width="12" customWidth="1" min="6" max="6"/>
    <col width="16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</cols>
  <sheetData>
    <row r="1" ht="24" customHeight="1">
      <c r="A1" s="1" t="inlineStr">
        <is>
          <t>Weekly Screening Report — Top 20</t>
        </is>
      </c>
    </row>
    <row r="3">
      <c r="A3" s="3" t="inlineStr">
        <is>
          <t>Filters &amp; universe notes</t>
        </is>
      </c>
    </row>
    <row r="4">
      <c r="A4" t="inlineStr">
        <is>
          <t>Universe</t>
        </is>
      </c>
      <c r="B4" t="inlineStr">
        <is>
          <t>Prime/Standard priority (Growth satellite)</t>
        </is>
      </c>
    </row>
    <row r="5">
      <c r="A5" t="inlineStr">
        <is>
          <t>Core filter</t>
        </is>
      </c>
      <c r="B5" t="inlineStr">
        <is>
          <t>PBR&lt;cfg_PBR_max AND NetCash&gt;0 AND Liquidity&gt;=cfg_Liq_min</t>
        </is>
      </c>
    </row>
    <row r="6">
      <c r="A6" t="inlineStr">
        <is>
          <t>Sources</t>
        </is>
      </c>
      <c r="B6" t="inlineStr">
        <is>
          <t>Primary sources only; record URLs in Sources sheet</t>
        </is>
      </c>
    </row>
    <row r="9">
      <c r="A9" s="3" t="inlineStr">
        <is>
          <t>Top 20 (Core-pass only)</t>
        </is>
      </c>
    </row>
    <row r="10">
      <c r="A10" s="10" t="inlineStr">
        <is>
          <t>Rank</t>
        </is>
      </c>
      <c r="B10" s="10" t="inlineStr">
        <is>
          <t>Ticker</t>
        </is>
      </c>
      <c r="C10" s="10" t="inlineStr">
        <is>
          <t>Name</t>
        </is>
      </c>
      <c r="D10" s="10" t="inlineStr">
        <is>
          <t>Market</t>
        </is>
      </c>
      <c r="E10" s="10" t="inlineStr">
        <is>
          <t>PBR</t>
        </is>
      </c>
      <c r="F10" s="10" t="inlineStr">
        <is>
          <t>NetCash%</t>
        </is>
      </c>
      <c r="G10" s="10" t="inlineStr">
        <is>
          <t>Liquidity (¥mm/day)</t>
        </is>
      </c>
      <c r="H10" s="10" t="inlineStr">
        <is>
          <t>Score</t>
        </is>
      </c>
      <c r="I10" s="10" t="inlineStr">
        <is>
          <t>PrevRank (input)</t>
        </is>
      </c>
      <c r="J10" s="10" t="inlineStr">
        <is>
          <t>Δ Rank</t>
        </is>
      </c>
      <c r="K10" s="10" t="inlineStr">
        <is>
          <t>Tag</t>
        </is>
      </c>
      <c r="L10" s="10" t="inlineStr">
        <is>
          <t>ScoreKey</t>
        </is>
      </c>
    </row>
    <row r="11">
      <c r="A11" t="n">
        <v>1</v>
      </c>
      <c r="B11">
        <f>IF($L11="","",IFERROR(INDEX(Scores!$A$3:$A$202,MATCH($L11,Scores!$T$3:$T$202,0)),""))</f>
        <v/>
      </c>
      <c r="C11">
        <f>IF($B11="","",IFERROR(INDEX(Scores!$B$3:$B$202,MATCH($L11,Scores!$T$3:$T$202,0)),""))</f>
        <v/>
      </c>
      <c r="D11">
        <f>IF($B11="","",IFERROR(INDEX(Scores!$C$3:$C$202,MATCH($L11,Scores!$T$3:$T$202,0)),""))</f>
        <v/>
      </c>
      <c r="E11" s="16">
        <f>IF($B11="","",IFERROR(INDEX(Scores!$E$3:$E$202,MATCH($L11,Scores!$T$3:$T$202,0)),""))</f>
        <v/>
      </c>
      <c r="F11" s="17">
        <f>IF($B11="","",IFERROR(INDEX(Scores!$G$3:$G$202,MATCH($L11,Scores!$T$3:$T$202,0)),""))</f>
        <v/>
      </c>
      <c r="G11" s="15">
        <f>IF($B11="","",IFERROR(INDEX(Scores!$I$3:$I$202,MATCH($L11,Scores!$T$3:$T$202,0)),""))</f>
        <v/>
      </c>
      <c r="H11" s="18">
        <f>IF($B11="","",IFERROR(INDEX(Scores!$P$3:$P$202,MATCH($L11,Scores!$T$3:$T$202,0)),""))</f>
        <v/>
      </c>
      <c r="I11" s="11" t="n"/>
      <c r="J11">
        <f>IF($I11="","",$I11-$A11)</f>
        <v/>
      </c>
      <c r="K11">
        <f>IF($B11="","",IF($I11="","New",IF($J11&gt;0,"Up",IF($J11&lt;0,"Down","Flat"))))</f>
        <v/>
      </c>
      <c r="L11" s="19">
        <f>IFERROR(LARGE(Scores!$T$3:$T$202,$A11),"")</f>
        <v/>
      </c>
    </row>
    <row r="12">
      <c r="A12" t="n">
        <v>2</v>
      </c>
      <c r="B12">
        <f>IF($L12="","",IFERROR(INDEX(Scores!$A$3:$A$202,MATCH($L12,Scores!$T$3:$T$202,0)),""))</f>
        <v/>
      </c>
      <c r="C12">
        <f>IF($B12="","",IFERROR(INDEX(Scores!$B$3:$B$202,MATCH($L12,Scores!$T$3:$T$202,0)),""))</f>
        <v/>
      </c>
      <c r="D12">
        <f>IF($B12="","",IFERROR(INDEX(Scores!$C$3:$C$202,MATCH($L12,Scores!$T$3:$T$202,0)),""))</f>
        <v/>
      </c>
      <c r="E12" s="16">
        <f>IF($B12="","",IFERROR(INDEX(Scores!$E$3:$E$202,MATCH($L12,Scores!$T$3:$T$202,0)),""))</f>
        <v/>
      </c>
      <c r="F12" s="17">
        <f>IF($B12="","",IFERROR(INDEX(Scores!$G$3:$G$202,MATCH($L12,Scores!$T$3:$T$202,0)),""))</f>
        <v/>
      </c>
      <c r="G12" s="15">
        <f>IF($B12="","",IFERROR(INDEX(Scores!$I$3:$I$202,MATCH($L12,Scores!$T$3:$T$202,0)),""))</f>
        <v/>
      </c>
      <c r="H12" s="18">
        <f>IF($B12="","",IFERROR(INDEX(Scores!$P$3:$P$202,MATCH($L12,Scores!$T$3:$T$202,0)),""))</f>
        <v/>
      </c>
      <c r="I12" s="11" t="n"/>
      <c r="J12">
        <f>IF($I12="","",$I12-$A12)</f>
        <v/>
      </c>
      <c r="K12">
        <f>IF($B12="","",IF($I12="","New",IF($J12&gt;0,"Up",IF($J12&lt;0,"Down","Flat"))))</f>
        <v/>
      </c>
      <c r="L12" s="19">
        <f>IFERROR(LARGE(Scores!$T$3:$T$202,$A12),"")</f>
        <v/>
      </c>
    </row>
    <row r="13">
      <c r="A13" t="n">
        <v>3</v>
      </c>
      <c r="B13">
        <f>IF($L13="","",IFERROR(INDEX(Scores!$A$3:$A$202,MATCH($L13,Scores!$T$3:$T$202,0)),""))</f>
        <v/>
      </c>
      <c r="C13">
        <f>IF($B13="","",IFERROR(INDEX(Scores!$B$3:$B$202,MATCH($L13,Scores!$T$3:$T$202,0)),""))</f>
        <v/>
      </c>
      <c r="D13">
        <f>IF($B13="","",IFERROR(INDEX(Scores!$C$3:$C$202,MATCH($L13,Scores!$T$3:$T$202,0)),""))</f>
        <v/>
      </c>
      <c r="E13" s="16">
        <f>IF($B13="","",IFERROR(INDEX(Scores!$E$3:$E$202,MATCH($L13,Scores!$T$3:$T$202,0)),""))</f>
        <v/>
      </c>
      <c r="F13" s="17">
        <f>IF($B13="","",IFERROR(INDEX(Scores!$G$3:$G$202,MATCH($L13,Scores!$T$3:$T$202,0)),""))</f>
        <v/>
      </c>
      <c r="G13" s="15">
        <f>IF($B13="","",IFERROR(INDEX(Scores!$I$3:$I$202,MATCH($L13,Scores!$T$3:$T$202,0)),""))</f>
        <v/>
      </c>
      <c r="H13" s="18">
        <f>IF($B13="","",IFERROR(INDEX(Scores!$P$3:$P$202,MATCH($L13,Scores!$T$3:$T$202,0)),""))</f>
        <v/>
      </c>
      <c r="I13" s="11" t="n"/>
      <c r="J13">
        <f>IF($I13="","",$I13-$A13)</f>
        <v/>
      </c>
      <c r="K13">
        <f>IF($B13="","",IF($I13="","New",IF($J13&gt;0,"Up",IF($J13&lt;0,"Down","Flat"))))</f>
        <v/>
      </c>
      <c r="L13" s="19">
        <f>IFERROR(LARGE(Scores!$T$3:$T$202,$A13),"")</f>
        <v/>
      </c>
    </row>
    <row r="14">
      <c r="A14" t="n">
        <v>4</v>
      </c>
      <c r="B14">
        <f>IF($L14="","",IFERROR(INDEX(Scores!$A$3:$A$202,MATCH($L14,Scores!$T$3:$T$202,0)),""))</f>
        <v/>
      </c>
      <c r="C14">
        <f>IF($B14="","",IFERROR(INDEX(Scores!$B$3:$B$202,MATCH($L14,Scores!$T$3:$T$202,0)),""))</f>
        <v/>
      </c>
      <c r="D14">
        <f>IF($B14="","",IFERROR(INDEX(Scores!$C$3:$C$202,MATCH($L14,Scores!$T$3:$T$202,0)),""))</f>
        <v/>
      </c>
      <c r="E14" s="16">
        <f>IF($B14="","",IFERROR(INDEX(Scores!$E$3:$E$202,MATCH($L14,Scores!$T$3:$T$202,0)),""))</f>
        <v/>
      </c>
      <c r="F14" s="17">
        <f>IF($B14="","",IFERROR(INDEX(Scores!$G$3:$G$202,MATCH($L14,Scores!$T$3:$T$202,0)),""))</f>
        <v/>
      </c>
      <c r="G14" s="15">
        <f>IF($B14="","",IFERROR(INDEX(Scores!$I$3:$I$202,MATCH($L14,Scores!$T$3:$T$202,0)),""))</f>
        <v/>
      </c>
      <c r="H14" s="18">
        <f>IF($B14="","",IFERROR(INDEX(Scores!$P$3:$P$202,MATCH($L14,Scores!$T$3:$T$202,0)),""))</f>
        <v/>
      </c>
      <c r="I14" s="11" t="n"/>
      <c r="J14">
        <f>IF($I14="","",$I14-$A14)</f>
        <v/>
      </c>
      <c r="K14">
        <f>IF($B14="","",IF($I14="","New",IF($J14&gt;0,"Up",IF($J14&lt;0,"Down","Flat"))))</f>
        <v/>
      </c>
      <c r="L14" s="19">
        <f>IFERROR(LARGE(Scores!$T$3:$T$202,$A14),"")</f>
        <v/>
      </c>
    </row>
    <row r="15">
      <c r="A15" t="n">
        <v>5</v>
      </c>
      <c r="B15">
        <f>IF($L15="","",IFERROR(INDEX(Scores!$A$3:$A$202,MATCH($L15,Scores!$T$3:$T$202,0)),""))</f>
        <v/>
      </c>
      <c r="C15">
        <f>IF($B15="","",IFERROR(INDEX(Scores!$B$3:$B$202,MATCH($L15,Scores!$T$3:$T$202,0)),""))</f>
        <v/>
      </c>
      <c r="D15">
        <f>IF($B15="","",IFERROR(INDEX(Scores!$C$3:$C$202,MATCH($L15,Scores!$T$3:$T$202,0)),""))</f>
        <v/>
      </c>
      <c r="E15" s="16">
        <f>IF($B15="","",IFERROR(INDEX(Scores!$E$3:$E$202,MATCH($L15,Scores!$T$3:$T$202,0)),""))</f>
        <v/>
      </c>
      <c r="F15" s="17">
        <f>IF($B15="","",IFERROR(INDEX(Scores!$G$3:$G$202,MATCH($L15,Scores!$T$3:$T$202,0)),""))</f>
        <v/>
      </c>
      <c r="G15" s="15">
        <f>IF($B15="","",IFERROR(INDEX(Scores!$I$3:$I$202,MATCH($L15,Scores!$T$3:$T$202,0)),""))</f>
        <v/>
      </c>
      <c r="H15" s="18">
        <f>IF($B15="","",IFERROR(INDEX(Scores!$P$3:$P$202,MATCH($L15,Scores!$T$3:$T$202,0)),""))</f>
        <v/>
      </c>
      <c r="I15" s="11" t="n"/>
      <c r="J15">
        <f>IF($I15="","",$I15-$A15)</f>
        <v/>
      </c>
      <c r="K15">
        <f>IF($B15="","",IF($I15="","New",IF($J15&gt;0,"Up",IF($J15&lt;0,"Down","Flat"))))</f>
        <v/>
      </c>
      <c r="L15" s="19">
        <f>IFERROR(LARGE(Scores!$T$3:$T$202,$A15),"")</f>
        <v/>
      </c>
    </row>
    <row r="16">
      <c r="A16" t="n">
        <v>6</v>
      </c>
      <c r="B16">
        <f>IF($L16="","",IFERROR(INDEX(Scores!$A$3:$A$202,MATCH($L16,Scores!$T$3:$T$202,0)),""))</f>
        <v/>
      </c>
      <c r="C16">
        <f>IF($B16="","",IFERROR(INDEX(Scores!$B$3:$B$202,MATCH($L16,Scores!$T$3:$T$202,0)),""))</f>
        <v/>
      </c>
      <c r="D16">
        <f>IF($B16="","",IFERROR(INDEX(Scores!$C$3:$C$202,MATCH($L16,Scores!$T$3:$T$202,0)),""))</f>
        <v/>
      </c>
      <c r="E16" s="16">
        <f>IF($B16="","",IFERROR(INDEX(Scores!$E$3:$E$202,MATCH($L16,Scores!$T$3:$T$202,0)),""))</f>
        <v/>
      </c>
      <c r="F16" s="17">
        <f>IF($B16="","",IFERROR(INDEX(Scores!$G$3:$G$202,MATCH($L16,Scores!$T$3:$T$202,0)),""))</f>
        <v/>
      </c>
      <c r="G16" s="15">
        <f>IF($B16="","",IFERROR(INDEX(Scores!$I$3:$I$202,MATCH($L16,Scores!$T$3:$T$202,0)),""))</f>
        <v/>
      </c>
      <c r="H16" s="18">
        <f>IF($B16="","",IFERROR(INDEX(Scores!$P$3:$P$202,MATCH($L16,Scores!$T$3:$T$202,0)),""))</f>
        <v/>
      </c>
      <c r="I16" s="11" t="n"/>
      <c r="J16">
        <f>IF($I16="","",$I16-$A16)</f>
        <v/>
      </c>
      <c r="K16">
        <f>IF($B16="","",IF($I16="","New",IF($J16&gt;0,"Up",IF($J16&lt;0,"Down","Flat"))))</f>
        <v/>
      </c>
      <c r="L16" s="19">
        <f>IFERROR(LARGE(Scores!$T$3:$T$202,$A16),"")</f>
        <v/>
      </c>
    </row>
    <row r="17">
      <c r="A17" t="n">
        <v>7</v>
      </c>
      <c r="B17">
        <f>IF($L17="","",IFERROR(INDEX(Scores!$A$3:$A$202,MATCH($L17,Scores!$T$3:$T$202,0)),""))</f>
        <v/>
      </c>
      <c r="C17">
        <f>IF($B17="","",IFERROR(INDEX(Scores!$B$3:$B$202,MATCH($L17,Scores!$T$3:$T$202,0)),""))</f>
        <v/>
      </c>
      <c r="D17">
        <f>IF($B17="","",IFERROR(INDEX(Scores!$C$3:$C$202,MATCH($L17,Scores!$T$3:$T$202,0)),""))</f>
        <v/>
      </c>
      <c r="E17" s="16">
        <f>IF($B17="","",IFERROR(INDEX(Scores!$E$3:$E$202,MATCH($L17,Scores!$T$3:$T$202,0)),""))</f>
        <v/>
      </c>
      <c r="F17" s="17">
        <f>IF($B17="","",IFERROR(INDEX(Scores!$G$3:$G$202,MATCH($L17,Scores!$T$3:$T$202,0)),""))</f>
        <v/>
      </c>
      <c r="G17" s="15">
        <f>IF($B17="","",IFERROR(INDEX(Scores!$I$3:$I$202,MATCH($L17,Scores!$T$3:$T$202,0)),""))</f>
        <v/>
      </c>
      <c r="H17" s="18">
        <f>IF($B17="","",IFERROR(INDEX(Scores!$P$3:$P$202,MATCH($L17,Scores!$T$3:$T$202,0)),""))</f>
        <v/>
      </c>
      <c r="I17" s="11" t="n"/>
      <c r="J17">
        <f>IF($I17="","",$I17-$A17)</f>
        <v/>
      </c>
      <c r="K17">
        <f>IF($B17="","",IF($I17="","New",IF($J17&gt;0,"Up",IF($J17&lt;0,"Down","Flat"))))</f>
        <v/>
      </c>
      <c r="L17" s="19">
        <f>IFERROR(LARGE(Scores!$T$3:$T$202,$A17),"")</f>
        <v/>
      </c>
    </row>
    <row r="18">
      <c r="A18" t="n">
        <v>8</v>
      </c>
      <c r="B18">
        <f>IF($L18="","",IFERROR(INDEX(Scores!$A$3:$A$202,MATCH($L18,Scores!$T$3:$T$202,0)),""))</f>
        <v/>
      </c>
      <c r="C18">
        <f>IF($B18="","",IFERROR(INDEX(Scores!$B$3:$B$202,MATCH($L18,Scores!$T$3:$T$202,0)),""))</f>
        <v/>
      </c>
      <c r="D18">
        <f>IF($B18="","",IFERROR(INDEX(Scores!$C$3:$C$202,MATCH($L18,Scores!$T$3:$T$202,0)),""))</f>
        <v/>
      </c>
      <c r="E18" s="16">
        <f>IF($B18="","",IFERROR(INDEX(Scores!$E$3:$E$202,MATCH($L18,Scores!$T$3:$T$202,0)),""))</f>
        <v/>
      </c>
      <c r="F18" s="17">
        <f>IF($B18="","",IFERROR(INDEX(Scores!$G$3:$G$202,MATCH($L18,Scores!$T$3:$T$202,0)),""))</f>
        <v/>
      </c>
      <c r="G18" s="15">
        <f>IF($B18="","",IFERROR(INDEX(Scores!$I$3:$I$202,MATCH($L18,Scores!$T$3:$T$202,0)),""))</f>
        <v/>
      </c>
      <c r="H18" s="18">
        <f>IF($B18="","",IFERROR(INDEX(Scores!$P$3:$P$202,MATCH($L18,Scores!$T$3:$T$202,0)),""))</f>
        <v/>
      </c>
      <c r="I18" s="11" t="n"/>
      <c r="J18">
        <f>IF($I18="","",$I18-$A18)</f>
        <v/>
      </c>
      <c r="K18">
        <f>IF($B18="","",IF($I18="","New",IF($J18&gt;0,"Up",IF($J18&lt;0,"Down","Flat"))))</f>
        <v/>
      </c>
      <c r="L18" s="19">
        <f>IFERROR(LARGE(Scores!$T$3:$T$202,$A18),"")</f>
        <v/>
      </c>
    </row>
    <row r="19">
      <c r="A19" t="n">
        <v>9</v>
      </c>
      <c r="B19">
        <f>IF($L19="","",IFERROR(INDEX(Scores!$A$3:$A$202,MATCH($L19,Scores!$T$3:$T$202,0)),""))</f>
        <v/>
      </c>
      <c r="C19">
        <f>IF($B19="","",IFERROR(INDEX(Scores!$B$3:$B$202,MATCH($L19,Scores!$T$3:$T$202,0)),""))</f>
        <v/>
      </c>
      <c r="D19">
        <f>IF($B19="","",IFERROR(INDEX(Scores!$C$3:$C$202,MATCH($L19,Scores!$T$3:$T$202,0)),""))</f>
        <v/>
      </c>
      <c r="E19" s="16">
        <f>IF($B19="","",IFERROR(INDEX(Scores!$E$3:$E$202,MATCH($L19,Scores!$T$3:$T$202,0)),""))</f>
        <v/>
      </c>
      <c r="F19" s="17">
        <f>IF($B19="","",IFERROR(INDEX(Scores!$G$3:$G$202,MATCH($L19,Scores!$T$3:$T$202,0)),""))</f>
        <v/>
      </c>
      <c r="G19" s="15">
        <f>IF($B19="","",IFERROR(INDEX(Scores!$I$3:$I$202,MATCH($L19,Scores!$T$3:$T$202,0)),""))</f>
        <v/>
      </c>
      <c r="H19" s="18">
        <f>IF($B19="","",IFERROR(INDEX(Scores!$P$3:$P$202,MATCH($L19,Scores!$T$3:$T$202,0)),""))</f>
        <v/>
      </c>
      <c r="I19" s="11" t="n"/>
      <c r="J19">
        <f>IF($I19="","",$I19-$A19)</f>
        <v/>
      </c>
      <c r="K19">
        <f>IF($B19="","",IF($I19="","New",IF($J19&gt;0,"Up",IF($J19&lt;0,"Down","Flat"))))</f>
        <v/>
      </c>
      <c r="L19" s="19">
        <f>IFERROR(LARGE(Scores!$T$3:$T$202,$A19),"")</f>
        <v/>
      </c>
    </row>
    <row r="20">
      <c r="A20" t="n">
        <v>10</v>
      </c>
      <c r="B20">
        <f>IF($L20="","",IFERROR(INDEX(Scores!$A$3:$A$202,MATCH($L20,Scores!$T$3:$T$202,0)),""))</f>
        <v/>
      </c>
      <c r="C20">
        <f>IF($B20="","",IFERROR(INDEX(Scores!$B$3:$B$202,MATCH($L20,Scores!$T$3:$T$202,0)),""))</f>
        <v/>
      </c>
      <c r="D20">
        <f>IF($B20="","",IFERROR(INDEX(Scores!$C$3:$C$202,MATCH($L20,Scores!$T$3:$T$202,0)),""))</f>
        <v/>
      </c>
      <c r="E20" s="16">
        <f>IF($B20="","",IFERROR(INDEX(Scores!$E$3:$E$202,MATCH($L20,Scores!$T$3:$T$202,0)),""))</f>
        <v/>
      </c>
      <c r="F20" s="17">
        <f>IF($B20="","",IFERROR(INDEX(Scores!$G$3:$G$202,MATCH($L20,Scores!$T$3:$T$202,0)),""))</f>
        <v/>
      </c>
      <c r="G20" s="15">
        <f>IF($B20="","",IFERROR(INDEX(Scores!$I$3:$I$202,MATCH($L20,Scores!$T$3:$T$202,0)),""))</f>
        <v/>
      </c>
      <c r="H20" s="18">
        <f>IF($B20="","",IFERROR(INDEX(Scores!$P$3:$P$202,MATCH($L20,Scores!$T$3:$T$202,0)),""))</f>
        <v/>
      </c>
      <c r="I20" s="11" t="n"/>
      <c r="J20">
        <f>IF($I20="","",$I20-$A20)</f>
        <v/>
      </c>
      <c r="K20">
        <f>IF($B20="","",IF($I20="","New",IF($J20&gt;0,"Up",IF($J20&lt;0,"Down","Flat"))))</f>
        <v/>
      </c>
      <c r="L20" s="19">
        <f>IFERROR(LARGE(Scores!$T$3:$T$202,$A20),"")</f>
        <v/>
      </c>
    </row>
    <row r="21">
      <c r="A21" t="n">
        <v>11</v>
      </c>
      <c r="B21">
        <f>IF($L21="","",IFERROR(INDEX(Scores!$A$3:$A$202,MATCH($L21,Scores!$T$3:$T$202,0)),""))</f>
        <v/>
      </c>
      <c r="C21">
        <f>IF($B21="","",IFERROR(INDEX(Scores!$B$3:$B$202,MATCH($L21,Scores!$T$3:$T$202,0)),""))</f>
        <v/>
      </c>
      <c r="D21">
        <f>IF($B21="","",IFERROR(INDEX(Scores!$C$3:$C$202,MATCH($L21,Scores!$T$3:$T$202,0)),""))</f>
        <v/>
      </c>
      <c r="E21" s="16">
        <f>IF($B21="","",IFERROR(INDEX(Scores!$E$3:$E$202,MATCH($L21,Scores!$T$3:$T$202,0)),""))</f>
        <v/>
      </c>
      <c r="F21" s="17">
        <f>IF($B21="","",IFERROR(INDEX(Scores!$G$3:$G$202,MATCH($L21,Scores!$T$3:$T$202,0)),""))</f>
        <v/>
      </c>
      <c r="G21" s="15">
        <f>IF($B21="","",IFERROR(INDEX(Scores!$I$3:$I$202,MATCH($L21,Scores!$T$3:$T$202,0)),""))</f>
        <v/>
      </c>
      <c r="H21" s="18">
        <f>IF($B21="","",IFERROR(INDEX(Scores!$P$3:$P$202,MATCH($L21,Scores!$T$3:$T$202,0)),""))</f>
        <v/>
      </c>
      <c r="I21" s="11" t="n"/>
      <c r="J21">
        <f>IF($I21="","",$I21-$A21)</f>
        <v/>
      </c>
      <c r="K21">
        <f>IF($B21="","",IF($I21="","New",IF($J21&gt;0,"Up",IF($J21&lt;0,"Down","Flat"))))</f>
        <v/>
      </c>
      <c r="L21" s="19">
        <f>IFERROR(LARGE(Scores!$T$3:$T$202,$A21),"")</f>
        <v/>
      </c>
    </row>
    <row r="22">
      <c r="A22" t="n">
        <v>12</v>
      </c>
      <c r="B22">
        <f>IF($L22="","",IFERROR(INDEX(Scores!$A$3:$A$202,MATCH($L22,Scores!$T$3:$T$202,0)),""))</f>
        <v/>
      </c>
      <c r="C22">
        <f>IF($B22="","",IFERROR(INDEX(Scores!$B$3:$B$202,MATCH($L22,Scores!$T$3:$T$202,0)),""))</f>
        <v/>
      </c>
      <c r="D22">
        <f>IF($B22="","",IFERROR(INDEX(Scores!$C$3:$C$202,MATCH($L22,Scores!$T$3:$T$202,0)),""))</f>
        <v/>
      </c>
      <c r="E22" s="16">
        <f>IF($B22="","",IFERROR(INDEX(Scores!$E$3:$E$202,MATCH($L22,Scores!$T$3:$T$202,0)),""))</f>
        <v/>
      </c>
      <c r="F22" s="17">
        <f>IF($B22="","",IFERROR(INDEX(Scores!$G$3:$G$202,MATCH($L22,Scores!$T$3:$T$202,0)),""))</f>
        <v/>
      </c>
      <c r="G22" s="15">
        <f>IF($B22="","",IFERROR(INDEX(Scores!$I$3:$I$202,MATCH($L22,Scores!$T$3:$T$202,0)),""))</f>
        <v/>
      </c>
      <c r="H22" s="18">
        <f>IF($B22="","",IFERROR(INDEX(Scores!$P$3:$P$202,MATCH($L22,Scores!$T$3:$T$202,0)),""))</f>
        <v/>
      </c>
      <c r="I22" s="11" t="n"/>
      <c r="J22">
        <f>IF($I22="","",$I22-$A22)</f>
        <v/>
      </c>
      <c r="K22">
        <f>IF($B22="","",IF($I22="","New",IF($J22&gt;0,"Up",IF($J22&lt;0,"Down","Flat"))))</f>
        <v/>
      </c>
      <c r="L22" s="19">
        <f>IFERROR(LARGE(Scores!$T$3:$T$202,$A22),"")</f>
        <v/>
      </c>
    </row>
    <row r="23">
      <c r="A23" t="n">
        <v>13</v>
      </c>
      <c r="B23">
        <f>IF($L23="","",IFERROR(INDEX(Scores!$A$3:$A$202,MATCH($L23,Scores!$T$3:$T$202,0)),""))</f>
        <v/>
      </c>
      <c r="C23">
        <f>IF($B23="","",IFERROR(INDEX(Scores!$B$3:$B$202,MATCH($L23,Scores!$T$3:$T$202,0)),""))</f>
        <v/>
      </c>
      <c r="D23">
        <f>IF($B23="","",IFERROR(INDEX(Scores!$C$3:$C$202,MATCH($L23,Scores!$T$3:$T$202,0)),""))</f>
        <v/>
      </c>
      <c r="E23" s="16">
        <f>IF($B23="","",IFERROR(INDEX(Scores!$E$3:$E$202,MATCH($L23,Scores!$T$3:$T$202,0)),""))</f>
        <v/>
      </c>
      <c r="F23" s="17">
        <f>IF($B23="","",IFERROR(INDEX(Scores!$G$3:$G$202,MATCH($L23,Scores!$T$3:$T$202,0)),""))</f>
        <v/>
      </c>
      <c r="G23" s="15">
        <f>IF($B23="","",IFERROR(INDEX(Scores!$I$3:$I$202,MATCH($L23,Scores!$T$3:$T$202,0)),""))</f>
        <v/>
      </c>
      <c r="H23" s="18">
        <f>IF($B23="","",IFERROR(INDEX(Scores!$P$3:$P$202,MATCH($L23,Scores!$T$3:$T$202,0)),""))</f>
        <v/>
      </c>
      <c r="I23" s="11" t="n"/>
      <c r="J23">
        <f>IF($I23="","",$I23-$A23)</f>
        <v/>
      </c>
      <c r="K23">
        <f>IF($B23="","",IF($I23="","New",IF($J23&gt;0,"Up",IF($J23&lt;0,"Down","Flat"))))</f>
        <v/>
      </c>
      <c r="L23" s="19">
        <f>IFERROR(LARGE(Scores!$T$3:$T$202,$A23),"")</f>
        <v/>
      </c>
    </row>
    <row r="24">
      <c r="A24" t="n">
        <v>14</v>
      </c>
      <c r="B24">
        <f>IF($L24="","",IFERROR(INDEX(Scores!$A$3:$A$202,MATCH($L24,Scores!$T$3:$T$202,0)),""))</f>
        <v/>
      </c>
      <c r="C24">
        <f>IF($B24="","",IFERROR(INDEX(Scores!$B$3:$B$202,MATCH($L24,Scores!$T$3:$T$202,0)),""))</f>
        <v/>
      </c>
      <c r="D24">
        <f>IF($B24="","",IFERROR(INDEX(Scores!$C$3:$C$202,MATCH($L24,Scores!$T$3:$T$202,0)),""))</f>
        <v/>
      </c>
      <c r="E24" s="16">
        <f>IF($B24="","",IFERROR(INDEX(Scores!$E$3:$E$202,MATCH($L24,Scores!$T$3:$T$202,0)),""))</f>
        <v/>
      </c>
      <c r="F24" s="17">
        <f>IF($B24="","",IFERROR(INDEX(Scores!$G$3:$G$202,MATCH($L24,Scores!$T$3:$T$202,0)),""))</f>
        <v/>
      </c>
      <c r="G24" s="15">
        <f>IF($B24="","",IFERROR(INDEX(Scores!$I$3:$I$202,MATCH($L24,Scores!$T$3:$T$202,0)),""))</f>
        <v/>
      </c>
      <c r="H24" s="18">
        <f>IF($B24="","",IFERROR(INDEX(Scores!$P$3:$P$202,MATCH($L24,Scores!$T$3:$T$202,0)),""))</f>
        <v/>
      </c>
      <c r="I24" s="11" t="n"/>
      <c r="J24">
        <f>IF($I24="","",$I24-$A24)</f>
        <v/>
      </c>
      <c r="K24">
        <f>IF($B24="","",IF($I24="","New",IF($J24&gt;0,"Up",IF($J24&lt;0,"Down","Flat"))))</f>
        <v/>
      </c>
      <c r="L24" s="19">
        <f>IFERROR(LARGE(Scores!$T$3:$T$202,$A24),"")</f>
        <v/>
      </c>
    </row>
    <row r="25">
      <c r="A25" t="n">
        <v>15</v>
      </c>
      <c r="B25">
        <f>IF($L25="","",IFERROR(INDEX(Scores!$A$3:$A$202,MATCH($L25,Scores!$T$3:$T$202,0)),""))</f>
        <v/>
      </c>
      <c r="C25">
        <f>IF($B25="","",IFERROR(INDEX(Scores!$B$3:$B$202,MATCH($L25,Scores!$T$3:$T$202,0)),""))</f>
        <v/>
      </c>
      <c r="D25">
        <f>IF($B25="","",IFERROR(INDEX(Scores!$C$3:$C$202,MATCH($L25,Scores!$T$3:$T$202,0)),""))</f>
        <v/>
      </c>
      <c r="E25" s="16">
        <f>IF($B25="","",IFERROR(INDEX(Scores!$E$3:$E$202,MATCH($L25,Scores!$T$3:$T$202,0)),""))</f>
        <v/>
      </c>
      <c r="F25" s="17">
        <f>IF($B25="","",IFERROR(INDEX(Scores!$G$3:$G$202,MATCH($L25,Scores!$T$3:$T$202,0)),""))</f>
        <v/>
      </c>
      <c r="G25" s="15">
        <f>IF($B25="","",IFERROR(INDEX(Scores!$I$3:$I$202,MATCH($L25,Scores!$T$3:$T$202,0)),""))</f>
        <v/>
      </c>
      <c r="H25" s="18">
        <f>IF($B25="","",IFERROR(INDEX(Scores!$P$3:$P$202,MATCH($L25,Scores!$T$3:$T$202,0)),""))</f>
        <v/>
      </c>
      <c r="I25" s="11" t="n"/>
      <c r="J25">
        <f>IF($I25="","",$I25-$A25)</f>
        <v/>
      </c>
      <c r="K25">
        <f>IF($B25="","",IF($I25="","New",IF($J25&gt;0,"Up",IF($J25&lt;0,"Down","Flat"))))</f>
        <v/>
      </c>
      <c r="L25" s="19">
        <f>IFERROR(LARGE(Scores!$T$3:$T$202,$A25),"")</f>
        <v/>
      </c>
    </row>
    <row r="26">
      <c r="A26" t="n">
        <v>16</v>
      </c>
      <c r="B26">
        <f>IF($L26="","",IFERROR(INDEX(Scores!$A$3:$A$202,MATCH($L26,Scores!$T$3:$T$202,0)),""))</f>
        <v/>
      </c>
      <c r="C26">
        <f>IF($B26="","",IFERROR(INDEX(Scores!$B$3:$B$202,MATCH($L26,Scores!$T$3:$T$202,0)),""))</f>
        <v/>
      </c>
      <c r="D26">
        <f>IF($B26="","",IFERROR(INDEX(Scores!$C$3:$C$202,MATCH($L26,Scores!$T$3:$T$202,0)),""))</f>
        <v/>
      </c>
      <c r="E26" s="16">
        <f>IF($B26="","",IFERROR(INDEX(Scores!$E$3:$E$202,MATCH($L26,Scores!$T$3:$T$202,0)),""))</f>
        <v/>
      </c>
      <c r="F26" s="17">
        <f>IF($B26="","",IFERROR(INDEX(Scores!$G$3:$G$202,MATCH($L26,Scores!$T$3:$T$202,0)),""))</f>
        <v/>
      </c>
      <c r="G26" s="15">
        <f>IF($B26="","",IFERROR(INDEX(Scores!$I$3:$I$202,MATCH($L26,Scores!$T$3:$T$202,0)),""))</f>
        <v/>
      </c>
      <c r="H26" s="18">
        <f>IF($B26="","",IFERROR(INDEX(Scores!$P$3:$P$202,MATCH($L26,Scores!$T$3:$T$202,0)),""))</f>
        <v/>
      </c>
      <c r="I26" s="11" t="n"/>
      <c r="J26">
        <f>IF($I26="","",$I26-$A26)</f>
        <v/>
      </c>
      <c r="K26">
        <f>IF($B26="","",IF($I26="","New",IF($J26&gt;0,"Up",IF($J26&lt;0,"Down","Flat"))))</f>
        <v/>
      </c>
      <c r="L26" s="19">
        <f>IFERROR(LARGE(Scores!$T$3:$T$202,$A26),"")</f>
        <v/>
      </c>
    </row>
    <row r="27">
      <c r="A27" t="n">
        <v>17</v>
      </c>
      <c r="B27">
        <f>IF($L27="","",IFERROR(INDEX(Scores!$A$3:$A$202,MATCH($L27,Scores!$T$3:$T$202,0)),""))</f>
        <v/>
      </c>
      <c r="C27">
        <f>IF($B27="","",IFERROR(INDEX(Scores!$B$3:$B$202,MATCH($L27,Scores!$T$3:$T$202,0)),""))</f>
        <v/>
      </c>
      <c r="D27">
        <f>IF($B27="","",IFERROR(INDEX(Scores!$C$3:$C$202,MATCH($L27,Scores!$T$3:$T$202,0)),""))</f>
        <v/>
      </c>
      <c r="E27" s="16">
        <f>IF($B27="","",IFERROR(INDEX(Scores!$E$3:$E$202,MATCH($L27,Scores!$T$3:$T$202,0)),""))</f>
        <v/>
      </c>
      <c r="F27" s="17">
        <f>IF($B27="","",IFERROR(INDEX(Scores!$G$3:$G$202,MATCH($L27,Scores!$T$3:$T$202,0)),""))</f>
        <v/>
      </c>
      <c r="G27" s="15">
        <f>IF($B27="","",IFERROR(INDEX(Scores!$I$3:$I$202,MATCH($L27,Scores!$T$3:$T$202,0)),""))</f>
        <v/>
      </c>
      <c r="H27" s="18">
        <f>IF($B27="","",IFERROR(INDEX(Scores!$P$3:$P$202,MATCH($L27,Scores!$T$3:$T$202,0)),""))</f>
        <v/>
      </c>
      <c r="I27" s="11" t="n"/>
      <c r="J27">
        <f>IF($I27="","",$I27-$A27)</f>
        <v/>
      </c>
      <c r="K27">
        <f>IF($B27="","",IF($I27="","New",IF($J27&gt;0,"Up",IF($J27&lt;0,"Down","Flat"))))</f>
        <v/>
      </c>
      <c r="L27" s="19">
        <f>IFERROR(LARGE(Scores!$T$3:$T$202,$A27),"")</f>
        <v/>
      </c>
    </row>
    <row r="28">
      <c r="A28" t="n">
        <v>18</v>
      </c>
      <c r="B28">
        <f>IF($L28="","",IFERROR(INDEX(Scores!$A$3:$A$202,MATCH($L28,Scores!$T$3:$T$202,0)),""))</f>
        <v/>
      </c>
      <c r="C28">
        <f>IF($B28="","",IFERROR(INDEX(Scores!$B$3:$B$202,MATCH($L28,Scores!$T$3:$T$202,0)),""))</f>
        <v/>
      </c>
      <c r="D28">
        <f>IF($B28="","",IFERROR(INDEX(Scores!$C$3:$C$202,MATCH($L28,Scores!$T$3:$T$202,0)),""))</f>
        <v/>
      </c>
      <c r="E28" s="16">
        <f>IF($B28="","",IFERROR(INDEX(Scores!$E$3:$E$202,MATCH($L28,Scores!$T$3:$T$202,0)),""))</f>
        <v/>
      </c>
      <c r="F28" s="17">
        <f>IF($B28="","",IFERROR(INDEX(Scores!$G$3:$G$202,MATCH($L28,Scores!$T$3:$T$202,0)),""))</f>
        <v/>
      </c>
      <c r="G28" s="15">
        <f>IF($B28="","",IFERROR(INDEX(Scores!$I$3:$I$202,MATCH($L28,Scores!$T$3:$T$202,0)),""))</f>
        <v/>
      </c>
      <c r="H28" s="18">
        <f>IF($B28="","",IFERROR(INDEX(Scores!$P$3:$P$202,MATCH($L28,Scores!$T$3:$T$202,0)),""))</f>
        <v/>
      </c>
      <c r="I28" s="11" t="n"/>
      <c r="J28">
        <f>IF($I28="","",$I28-$A28)</f>
        <v/>
      </c>
      <c r="K28">
        <f>IF($B28="","",IF($I28="","New",IF($J28&gt;0,"Up",IF($J28&lt;0,"Down","Flat"))))</f>
        <v/>
      </c>
      <c r="L28" s="19">
        <f>IFERROR(LARGE(Scores!$T$3:$T$202,$A28),"")</f>
        <v/>
      </c>
    </row>
    <row r="29">
      <c r="A29" t="n">
        <v>19</v>
      </c>
      <c r="B29">
        <f>IF($L29="","",IFERROR(INDEX(Scores!$A$3:$A$202,MATCH($L29,Scores!$T$3:$T$202,0)),""))</f>
        <v/>
      </c>
      <c r="C29">
        <f>IF($B29="","",IFERROR(INDEX(Scores!$B$3:$B$202,MATCH($L29,Scores!$T$3:$T$202,0)),""))</f>
        <v/>
      </c>
      <c r="D29">
        <f>IF($B29="","",IFERROR(INDEX(Scores!$C$3:$C$202,MATCH($L29,Scores!$T$3:$T$202,0)),""))</f>
        <v/>
      </c>
      <c r="E29" s="16">
        <f>IF($B29="","",IFERROR(INDEX(Scores!$E$3:$E$202,MATCH($L29,Scores!$T$3:$T$202,0)),""))</f>
        <v/>
      </c>
      <c r="F29" s="17">
        <f>IF($B29="","",IFERROR(INDEX(Scores!$G$3:$G$202,MATCH($L29,Scores!$T$3:$T$202,0)),""))</f>
        <v/>
      </c>
      <c r="G29" s="15">
        <f>IF($B29="","",IFERROR(INDEX(Scores!$I$3:$I$202,MATCH($L29,Scores!$T$3:$T$202,0)),""))</f>
        <v/>
      </c>
      <c r="H29" s="18">
        <f>IF($B29="","",IFERROR(INDEX(Scores!$P$3:$P$202,MATCH($L29,Scores!$T$3:$T$202,0)),""))</f>
        <v/>
      </c>
      <c r="I29" s="11" t="n"/>
      <c r="J29">
        <f>IF($I29="","",$I29-$A29)</f>
        <v/>
      </c>
      <c r="K29">
        <f>IF($B29="","",IF($I29="","New",IF($J29&gt;0,"Up",IF($J29&lt;0,"Down","Flat"))))</f>
        <v/>
      </c>
      <c r="L29" s="19">
        <f>IFERROR(LARGE(Scores!$T$3:$T$202,$A29),"")</f>
        <v/>
      </c>
    </row>
    <row r="30">
      <c r="A30" t="n">
        <v>20</v>
      </c>
      <c r="B30">
        <f>IF($L30="","",IFERROR(INDEX(Scores!$A$3:$A$202,MATCH($L30,Scores!$T$3:$T$202,0)),""))</f>
        <v/>
      </c>
      <c r="C30">
        <f>IF($B30="","",IFERROR(INDEX(Scores!$B$3:$B$202,MATCH($L30,Scores!$T$3:$T$202,0)),""))</f>
        <v/>
      </c>
      <c r="D30">
        <f>IF($B30="","",IFERROR(INDEX(Scores!$C$3:$C$202,MATCH($L30,Scores!$T$3:$T$202,0)),""))</f>
        <v/>
      </c>
      <c r="E30" s="16">
        <f>IF($B30="","",IFERROR(INDEX(Scores!$E$3:$E$202,MATCH($L30,Scores!$T$3:$T$202,0)),""))</f>
        <v/>
      </c>
      <c r="F30" s="17">
        <f>IF($B30="","",IFERROR(INDEX(Scores!$G$3:$G$202,MATCH($L30,Scores!$T$3:$T$202,0)),""))</f>
        <v/>
      </c>
      <c r="G30" s="15">
        <f>IF($B30="","",IFERROR(INDEX(Scores!$I$3:$I$202,MATCH($L30,Scores!$T$3:$T$202,0)),""))</f>
        <v/>
      </c>
      <c r="H30" s="18">
        <f>IF($B30="","",IFERROR(INDEX(Scores!$P$3:$P$202,MATCH($L30,Scores!$T$3:$T$202,0)),""))</f>
        <v/>
      </c>
      <c r="I30" s="11" t="n"/>
      <c r="J30">
        <f>IF($I30="","",$I30-$A30)</f>
        <v/>
      </c>
      <c r="K30">
        <f>IF($B30="","",IF($I30="","New",IF($J30&gt;0,"Up",IF($J30&lt;0,"Down","Flat"))))</f>
        <v/>
      </c>
      <c r="L30" s="19">
        <f>IFERROR(LARGE(Scores!$T$3:$T$202,$A30),"")</f>
        <v/>
      </c>
    </row>
  </sheetData>
  <mergeCells count="6">
    <mergeCell ref="A3:K3"/>
    <mergeCell ref="B4:K4"/>
    <mergeCell ref="B6:K6"/>
    <mergeCell ref="A1:K1"/>
    <mergeCell ref="A9:K9"/>
    <mergeCell ref="B5:K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QC Dashboard</t>
        </is>
      </c>
    </row>
    <row r="3">
      <c r="A3" s="3" t="inlineStr">
        <is>
          <t>Checks</t>
        </is>
      </c>
    </row>
    <row r="4">
      <c r="A4" s="20" t="inlineStr">
        <is>
          <t>Tickers populated (Fundamentals)</t>
        </is>
      </c>
      <c r="B4" s="21">
        <f>COUNTA(Fundamentals!$A$3:$A$202)</f>
        <v/>
      </c>
    </row>
    <row r="5">
      <c r="A5" s="20" t="inlineStr">
        <is>
          <t>Core-pass count</t>
        </is>
      </c>
      <c r="B5" s="21">
        <f>COUNTIF(Derived!$K$3:$K$202,1)</f>
        <v/>
      </c>
    </row>
    <row r="6">
      <c r="A6" s="20" t="inlineStr">
        <is>
          <t>Missing critical data (flag)</t>
        </is>
      </c>
      <c r="B6" s="21">
        <f>COUNTIF(Derived!$M$3:$M$202,1)</f>
        <v/>
      </c>
    </row>
    <row r="7">
      <c r="A7" s="20" t="inlineStr">
        <is>
          <t>Missing financials URL (where ticker exists)</t>
        </is>
      </c>
      <c r="B7" s="21">
        <f>COUNTIFS(Fundamentals!$A$3:$A$202,"&lt;&gt;",Fundamentals!$V$3:$V$202,"")</f>
        <v/>
      </c>
    </row>
    <row r="8">
      <c r="A8" s="20" t="inlineStr">
        <is>
          <t>Missing EDINET URL (where ticker exists)</t>
        </is>
      </c>
      <c r="B8" s="21">
        <f>COUNTIFS(Fundamentals!$A$3:$A$202,"&lt;&gt;",Fundamentals!$W$3:$W$202,"")</f>
        <v/>
      </c>
    </row>
    <row r="9">
      <c r="A9" s="20" t="inlineStr">
        <is>
          <t>Missing capital policy URL (where ticker exists)</t>
        </is>
      </c>
      <c r="B9" s="21">
        <f>COUNTIFS(Fundamentals!$A$3:$A$202,"&lt;&gt;",Fundamentals!$X$3:$X$202,"")</f>
        <v/>
      </c>
    </row>
    <row r="12">
      <c r="A12" s="3" t="inlineStr">
        <is>
          <t>Notes</t>
        </is>
      </c>
    </row>
    <row r="13">
      <c r="A13" s="22" t="inlineStr">
        <is>
          <t>If Missing critical data &gt; 0, complete blue inputs or record N/A explicitly with notes + primary URL.</t>
        </is>
      </c>
    </row>
  </sheetData>
  <mergeCells count="4">
    <mergeCell ref="A3:F3"/>
    <mergeCell ref="A13:F13"/>
    <mergeCell ref="A1:F1"/>
    <mergeCell ref="A12:F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4" customWidth="1" min="5" max="5"/>
    <col width="34" customWidth="1" min="6" max="6"/>
    <col width="16" customWidth="1" min="7" max="7"/>
    <col width="24" customWidth="1" min="8" max="8"/>
  </cols>
  <sheetData>
    <row r="1" ht="24" customHeight="1">
      <c r="A1" s="1" t="inlineStr">
        <is>
          <t>Sources (Primary source log — TDnet/JPX/EDINET/Issuer IR PDFs only)</t>
        </is>
      </c>
    </row>
    <row r="2">
      <c r="A2" s="10" t="inlineStr">
        <is>
          <t>Ticker</t>
        </is>
      </c>
      <c r="B2" s="10" t="inlineStr">
        <is>
          <t>Field</t>
        </is>
      </c>
      <c r="C2" s="10" t="inlineStr">
        <is>
          <t>Value</t>
        </is>
      </c>
      <c r="D2" s="10" t="inlineStr">
        <is>
          <t>Unit</t>
        </is>
      </c>
      <c r="E2" s="10" t="inlineStr">
        <is>
          <t>Period</t>
        </is>
      </c>
      <c r="F2" s="10" t="inlineStr">
        <is>
          <t>Primary Source URL</t>
        </is>
      </c>
      <c r="G2" s="10" t="inlineStr">
        <is>
          <t>Publication Date (JST)</t>
        </is>
      </c>
      <c r="H2" s="10" t="inlineStr">
        <is>
          <t>Notes</t>
        </is>
      </c>
    </row>
    <row r="3">
      <c r="A3" s="23" t="n"/>
      <c r="B3" s="24" t="n"/>
      <c r="C3" s="5" t="n"/>
      <c r="D3" s="25" t="n"/>
      <c r="E3" s="24" t="n"/>
      <c r="F3" s="24" t="n"/>
      <c r="G3" s="5" t="n"/>
      <c r="H3" s="24" t="n"/>
    </row>
    <row r="4">
      <c r="A4" s="23" t="n"/>
      <c r="B4" s="24" t="n"/>
      <c r="C4" s="5" t="n"/>
      <c r="D4" s="25" t="n"/>
      <c r="E4" s="24" t="n"/>
      <c r="F4" s="24" t="n"/>
      <c r="G4" s="5" t="n"/>
      <c r="H4" s="24" t="n"/>
    </row>
    <row r="5">
      <c r="A5" s="23" t="n"/>
      <c r="B5" s="24" t="n"/>
      <c r="C5" s="5" t="n"/>
      <c r="D5" s="25" t="n"/>
      <c r="E5" s="24" t="n"/>
      <c r="F5" s="24" t="n"/>
      <c r="G5" s="5" t="n"/>
      <c r="H5" s="24" t="n"/>
    </row>
    <row r="6">
      <c r="A6" s="23" t="n"/>
      <c r="B6" s="24" t="n"/>
      <c r="C6" s="5" t="n"/>
      <c r="D6" s="25" t="n"/>
      <c r="E6" s="24" t="n"/>
      <c r="F6" s="24" t="n"/>
      <c r="G6" s="5" t="n"/>
      <c r="H6" s="24" t="n"/>
    </row>
    <row r="7">
      <c r="A7" s="23" t="n"/>
      <c r="B7" s="24" t="n"/>
      <c r="C7" s="5" t="n"/>
      <c r="D7" s="25" t="n"/>
      <c r="E7" s="24" t="n"/>
      <c r="F7" s="24" t="n"/>
      <c r="G7" s="5" t="n"/>
      <c r="H7" s="24" t="n"/>
    </row>
    <row r="8">
      <c r="A8" s="23" t="n"/>
      <c r="B8" s="24" t="n"/>
      <c r="C8" s="5" t="n"/>
      <c r="D8" s="25" t="n"/>
      <c r="E8" s="24" t="n"/>
      <c r="F8" s="24" t="n"/>
      <c r="G8" s="5" t="n"/>
      <c r="H8" s="24" t="n"/>
    </row>
    <row r="9">
      <c r="A9" s="23" t="n"/>
      <c r="B9" s="24" t="n"/>
      <c r="C9" s="5" t="n"/>
      <c r="D9" s="25" t="n"/>
      <c r="E9" s="24" t="n"/>
      <c r="F9" s="24" t="n"/>
      <c r="G9" s="5" t="n"/>
      <c r="H9" s="24" t="n"/>
    </row>
    <row r="10">
      <c r="A10" s="23" t="n"/>
      <c r="B10" s="24" t="n"/>
      <c r="C10" s="5" t="n"/>
      <c r="D10" s="25" t="n"/>
      <c r="E10" s="24" t="n"/>
      <c r="F10" s="24" t="n"/>
      <c r="G10" s="5" t="n"/>
      <c r="H10" s="24" t="n"/>
    </row>
    <row r="11">
      <c r="A11" s="23" t="n"/>
      <c r="B11" s="24" t="n"/>
      <c r="C11" s="5" t="n"/>
      <c r="D11" s="25" t="n"/>
      <c r="E11" s="24" t="n"/>
      <c r="F11" s="24" t="n"/>
      <c r="G11" s="5" t="n"/>
      <c r="H11" s="24" t="n"/>
    </row>
    <row r="12">
      <c r="A12" s="23" t="n"/>
      <c r="B12" s="24" t="n"/>
      <c r="C12" s="5" t="n"/>
      <c r="D12" s="25" t="n"/>
      <c r="E12" s="24" t="n"/>
      <c r="F12" s="24" t="n"/>
      <c r="G12" s="5" t="n"/>
      <c r="H12" s="24" t="n"/>
    </row>
    <row r="13">
      <c r="A13" s="23" t="n"/>
      <c r="B13" s="24" t="n"/>
      <c r="C13" s="5" t="n"/>
      <c r="D13" s="25" t="n"/>
      <c r="E13" s="24" t="n"/>
      <c r="F13" s="24" t="n"/>
      <c r="G13" s="5" t="n"/>
      <c r="H13" s="24" t="n"/>
    </row>
    <row r="14">
      <c r="A14" s="23" t="n"/>
      <c r="B14" s="24" t="n"/>
      <c r="C14" s="5" t="n"/>
      <c r="D14" s="25" t="n"/>
      <c r="E14" s="24" t="n"/>
      <c r="F14" s="24" t="n"/>
      <c r="G14" s="5" t="n"/>
      <c r="H14" s="24" t="n"/>
    </row>
    <row r="15">
      <c r="A15" s="23" t="n"/>
      <c r="B15" s="24" t="n"/>
      <c r="C15" s="5" t="n"/>
      <c r="D15" s="25" t="n"/>
      <c r="E15" s="24" t="n"/>
      <c r="F15" s="24" t="n"/>
      <c r="G15" s="5" t="n"/>
      <c r="H15" s="24" t="n"/>
    </row>
    <row r="16">
      <c r="A16" s="23" t="n"/>
      <c r="B16" s="24" t="n"/>
      <c r="C16" s="5" t="n"/>
      <c r="D16" s="25" t="n"/>
      <c r="E16" s="24" t="n"/>
      <c r="F16" s="24" t="n"/>
      <c r="G16" s="5" t="n"/>
      <c r="H16" s="24" t="n"/>
    </row>
    <row r="17">
      <c r="A17" s="23" t="n"/>
      <c r="B17" s="24" t="n"/>
      <c r="C17" s="5" t="n"/>
      <c r="D17" s="25" t="n"/>
      <c r="E17" s="24" t="n"/>
      <c r="F17" s="24" t="n"/>
      <c r="G17" s="5" t="n"/>
      <c r="H17" s="24" t="n"/>
    </row>
    <row r="18">
      <c r="A18" s="23" t="n"/>
      <c r="B18" s="24" t="n"/>
      <c r="C18" s="5" t="n"/>
      <c r="D18" s="25" t="n"/>
      <c r="E18" s="24" t="n"/>
      <c r="F18" s="24" t="n"/>
      <c r="G18" s="5" t="n"/>
      <c r="H18" s="24" t="n"/>
    </row>
    <row r="19">
      <c r="A19" s="23" t="n"/>
      <c r="B19" s="24" t="n"/>
      <c r="C19" s="5" t="n"/>
      <c r="D19" s="25" t="n"/>
      <c r="E19" s="24" t="n"/>
      <c r="F19" s="24" t="n"/>
      <c r="G19" s="5" t="n"/>
      <c r="H19" s="24" t="n"/>
    </row>
    <row r="20">
      <c r="A20" s="23" t="n"/>
      <c r="B20" s="24" t="n"/>
      <c r="C20" s="5" t="n"/>
      <c r="D20" s="25" t="n"/>
      <c r="E20" s="24" t="n"/>
      <c r="F20" s="24" t="n"/>
      <c r="G20" s="5" t="n"/>
      <c r="H20" s="24" t="n"/>
    </row>
    <row r="21">
      <c r="A21" s="23" t="n"/>
      <c r="B21" s="24" t="n"/>
      <c r="C21" s="5" t="n"/>
      <c r="D21" s="25" t="n"/>
      <c r="E21" s="24" t="n"/>
      <c r="F21" s="24" t="n"/>
      <c r="G21" s="5" t="n"/>
      <c r="H21" s="24" t="n"/>
    </row>
    <row r="22">
      <c r="A22" s="23" t="n"/>
      <c r="B22" s="24" t="n"/>
      <c r="C22" s="5" t="n"/>
      <c r="D22" s="25" t="n"/>
      <c r="E22" s="24" t="n"/>
      <c r="F22" s="24" t="n"/>
      <c r="G22" s="5" t="n"/>
      <c r="H22" s="24" t="n"/>
    </row>
    <row r="23">
      <c r="A23" s="23" t="n"/>
      <c r="B23" s="24" t="n"/>
      <c r="C23" s="5" t="n"/>
      <c r="D23" s="25" t="n"/>
      <c r="E23" s="24" t="n"/>
      <c r="F23" s="24" t="n"/>
      <c r="G23" s="5" t="n"/>
      <c r="H23" s="24" t="n"/>
    </row>
    <row r="24">
      <c r="A24" s="23" t="n"/>
      <c r="B24" s="24" t="n"/>
      <c r="C24" s="5" t="n"/>
      <c r="D24" s="25" t="n"/>
      <c r="E24" s="24" t="n"/>
      <c r="F24" s="24" t="n"/>
      <c r="G24" s="5" t="n"/>
      <c r="H24" s="24" t="n"/>
    </row>
    <row r="25">
      <c r="A25" s="23" t="n"/>
      <c r="B25" s="24" t="n"/>
      <c r="C25" s="5" t="n"/>
      <c r="D25" s="25" t="n"/>
      <c r="E25" s="24" t="n"/>
      <c r="F25" s="24" t="n"/>
      <c r="G25" s="5" t="n"/>
      <c r="H25" s="24" t="n"/>
    </row>
    <row r="26">
      <c r="A26" s="23" t="n"/>
      <c r="B26" s="24" t="n"/>
      <c r="C26" s="5" t="n"/>
      <c r="D26" s="25" t="n"/>
      <c r="E26" s="24" t="n"/>
      <c r="F26" s="24" t="n"/>
      <c r="G26" s="5" t="n"/>
      <c r="H26" s="24" t="n"/>
    </row>
    <row r="27">
      <c r="A27" s="23" t="n"/>
      <c r="B27" s="24" t="n"/>
      <c r="C27" s="5" t="n"/>
      <c r="D27" s="25" t="n"/>
      <c r="E27" s="24" t="n"/>
      <c r="F27" s="24" t="n"/>
      <c r="G27" s="5" t="n"/>
      <c r="H27" s="24" t="n"/>
    </row>
    <row r="28">
      <c r="A28" s="23" t="n"/>
      <c r="B28" s="24" t="n"/>
      <c r="C28" s="5" t="n"/>
      <c r="D28" s="25" t="n"/>
      <c r="E28" s="24" t="n"/>
      <c r="F28" s="24" t="n"/>
      <c r="G28" s="5" t="n"/>
      <c r="H28" s="24" t="n"/>
    </row>
    <row r="29">
      <c r="A29" s="23" t="n"/>
      <c r="B29" s="24" t="n"/>
      <c r="C29" s="5" t="n"/>
      <c r="D29" s="25" t="n"/>
      <c r="E29" s="24" t="n"/>
      <c r="F29" s="24" t="n"/>
      <c r="G29" s="5" t="n"/>
      <c r="H29" s="24" t="n"/>
    </row>
    <row r="30">
      <c r="A30" s="23" t="n"/>
      <c r="B30" s="24" t="n"/>
      <c r="C30" s="5" t="n"/>
      <c r="D30" s="25" t="n"/>
      <c r="E30" s="24" t="n"/>
      <c r="F30" s="24" t="n"/>
      <c r="G30" s="5" t="n"/>
      <c r="H30" s="24" t="n"/>
    </row>
    <row r="31">
      <c r="A31" s="23" t="n"/>
      <c r="B31" s="24" t="n"/>
      <c r="C31" s="5" t="n"/>
      <c r="D31" s="25" t="n"/>
      <c r="E31" s="24" t="n"/>
      <c r="F31" s="24" t="n"/>
      <c r="G31" s="5" t="n"/>
      <c r="H31" s="24" t="n"/>
    </row>
    <row r="32">
      <c r="A32" s="23" t="n"/>
      <c r="B32" s="24" t="n"/>
      <c r="C32" s="5" t="n"/>
      <c r="D32" s="25" t="n"/>
      <c r="E32" s="24" t="n"/>
      <c r="F32" s="24" t="n"/>
      <c r="G32" s="5" t="n"/>
      <c r="H32" s="24" t="n"/>
    </row>
    <row r="33">
      <c r="A33" s="23" t="n"/>
      <c r="B33" s="24" t="n"/>
      <c r="C33" s="5" t="n"/>
      <c r="D33" s="25" t="n"/>
      <c r="E33" s="24" t="n"/>
      <c r="F33" s="24" t="n"/>
      <c r="G33" s="5" t="n"/>
      <c r="H33" s="24" t="n"/>
    </row>
    <row r="34">
      <c r="A34" s="23" t="n"/>
      <c r="B34" s="24" t="n"/>
      <c r="C34" s="5" t="n"/>
      <c r="D34" s="25" t="n"/>
      <c r="E34" s="24" t="n"/>
      <c r="F34" s="24" t="n"/>
      <c r="G34" s="5" t="n"/>
      <c r="H34" s="24" t="n"/>
    </row>
    <row r="35">
      <c r="A35" s="23" t="n"/>
      <c r="B35" s="24" t="n"/>
      <c r="C35" s="5" t="n"/>
      <c r="D35" s="25" t="n"/>
      <c r="E35" s="24" t="n"/>
      <c r="F35" s="24" t="n"/>
      <c r="G35" s="5" t="n"/>
      <c r="H35" s="24" t="n"/>
    </row>
    <row r="36">
      <c r="A36" s="23" t="n"/>
      <c r="B36" s="24" t="n"/>
      <c r="C36" s="5" t="n"/>
      <c r="D36" s="25" t="n"/>
      <c r="E36" s="24" t="n"/>
      <c r="F36" s="24" t="n"/>
      <c r="G36" s="5" t="n"/>
      <c r="H36" s="24" t="n"/>
    </row>
    <row r="37">
      <c r="A37" s="23" t="n"/>
      <c r="B37" s="24" t="n"/>
      <c r="C37" s="5" t="n"/>
      <c r="D37" s="25" t="n"/>
      <c r="E37" s="24" t="n"/>
      <c r="F37" s="24" t="n"/>
      <c r="G37" s="5" t="n"/>
      <c r="H37" s="24" t="n"/>
    </row>
    <row r="38">
      <c r="A38" s="23" t="n"/>
      <c r="B38" s="24" t="n"/>
      <c r="C38" s="5" t="n"/>
      <c r="D38" s="25" t="n"/>
      <c r="E38" s="24" t="n"/>
      <c r="F38" s="24" t="n"/>
      <c r="G38" s="5" t="n"/>
      <c r="H38" s="24" t="n"/>
    </row>
    <row r="39">
      <c r="A39" s="23" t="n"/>
      <c r="B39" s="24" t="n"/>
      <c r="C39" s="5" t="n"/>
      <c r="D39" s="25" t="n"/>
      <c r="E39" s="24" t="n"/>
      <c r="F39" s="24" t="n"/>
      <c r="G39" s="5" t="n"/>
      <c r="H39" s="24" t="n"/>
    </row>
    <row r="40">
      <c r="A40" s="23" t="n"/>
      <c r="B40" s="24" t="n"/>
      <c r="C40" s="5" t="n"/>
      <c r="D40" s="25" t="n"/>
      <c r="E40" s="24" t="n"/>
      <c r="F40" s="24" t="n"/>
      <c r="G40" s="5" t="n"/>
      <c r="H40" s="24" t="n"/>
    </row>
    <row r="41">
      <c r="A41" s="23" t="n"/>
      <c r="B41" s="24" t="n"/>
      <c r="C41" s="5" t="n"/>
      <c r="D41" s="25" t="n"/>
      <c r="E41" s="24" t="n"/>
      <c r="F41" s="24" t="n"/>
      <c r="G41" s="5" t="n"/>
      <c r="H41" s="24" t="n"/>
    </row>
    <row r="42">
      <c r="A42" s="23" t="n"/>
      <c r="B42" s="24" t="n"/>
      <c r="C42" s="5" t="n"/>
      <c r="D42" s="25" t="n"/>
      <c r="E42" s="24" t="n"/>
      <c r="F42" s="24" t="n"/>
      <c r="G42" s="5" t="n"/>
      <c r="H42" s="24" t="n"/>
    </row>
    <row r="43">
      <c r="A43" s="23" t="n"/>
      <c r="B43" s="24" t="n"/>
      <c r="C43" s="5" t="n"/>
      <c r="D43" s="25" t="n"/>
      <c r="E43" s="24" t="n"/>
      <c r="F43" s="24" t="n"/>
      <c r="G43" s="5" t="n"/>
      <c r="H43" s="24" t="n"/>
    </row>
    <row r="44">
      <c r="A44" s="23" t="n"/>
      <c r="B44" s="24" t="n"/>
      <c r="C44" s="5" t="n"/>
      <c r="D44" s="25" t="n"/>
      <c r="E44" s="24" t="n"/>
      <c r="F44" s="24" t="n"/>
      <c r="G44" s="5" t="n"/>
      <c r="H44" s="24" t="n"/>
    </row>
    <row r="45">
      <c r="A45" s="23" t="n"/>
      <c r="B45" s="24" t="n"/>
      <c r="C45" s="5" t="n"/>
      <c r="D45" s="25" t="n"/>
      <c r="E45" s="24" t="n"/>
      <c r="F45" s="24" t="n"/>
      <c r="G45" s="5" t="n"/>
      <c r="H45" s="24" t="n"/>
    </row>
    <row r="46">
      <c r="A46" s="23" t="n"/>
      <c r="B46" s="24" t="n"/>
      <c r="C46" s="5" t="n"/>
      <c r="D46" s="25" t="n"/>
      <c r="E46" s="24" t="n"/>
      <c r="F46" s="24" t="n"/>
      <c r="G46" s="5" t="n"/>
      <c r="H46" s="24" t="n"/>
    </row>
    <row r="47">
      <c r="A47" s="23" t="n"/>
      <c r="B47" s="24" t="n"/>
      <c r="C47" s="5" t="n"/>
      <c r="D47" s="25" t="n"/>
      <c r="E47" s="24" t="n"/>
      <c r="F47" s="24" t="n"/>
      <c r="G47" s="5" t="n"/>
      <c r="H47" s="24" t="n"/>
    </row>
    <row r="48">
      <c r="A48" s="23" t="n"/>
      <c r="B48" s="24" t="n"/>
      <c r="C48" s="5" t="n"/>
      <c r="D48" s="25" t="n"/>
      <c r="E48" s="24" t="n"/>
      <c r="F48" s="24" t="n"/>
      <c r="G48" s="5" t="n"/>
      <c r="H48" s="24" t="n"/>
    </row>
    <row r="49">
      <c r="A49" s="23" t="n"/>
      <c r="B49" s="24" t="n"/>
      <c r="C49" s="5" t="n"/>
      <c r="D49" s="25" t="n"/>
      <c r="E49" s="24" t="n"/>
      <c r="F49" s="24" t="n"/>
      <c r="G49" s="5" t="n"/>
      <c r="H49" s="24" t="n"/>
    </row>
    <row r="50">
      <c r="A50" s="23" t="n"/>
      <c r="B50" s="24" t="n"/>
      <c r="C50" s="5" t="n"/>
      <c r="D50" s="25" t="n"/>
      <c r="E50" s="24" t="n"/>
      <c r="F50" s="24" t="n"/>
      <c r="G50" s="5" t="n"/>
      <c r="H50" s="24" t="n"/>
    </row>
    <row r="51">
      <c r="A51" s="23" t="n"/>
      <c r="B51" s="24" t="n"/>
      <c r="C51" s="5" t="n"/>
      <c r="D51" s="25" t="n"/>
      <c r="E51" s="24" t="n"/>
      <c r="F51" s="24" t="n"/>
      <c r="G51" s="5" t="n"/>
      <c r="H51" s="24" t="n"/>
    </row>
    <row r="52">
      <c r="A52" s="23" t="n"/>
      <c r="B52" s="24" t="n"/>
      <c r="C52" s="5" t="n"/>
      <c r="D52" s="25" t="n"/>
      <c r="E52" s="24" t="n"/>
      <c r="F52" s="24" t="n"/>
      <c r="G52" s="5" t="n"/>
      <c r="H52" s="24" t="n"/>
    </row>
    <row r="53">
      <c r="A53" s="23" t="n"/>
      <c r="B53" s="24" t="n"/>
      <c r="C53" s="5" t="n"/>
      <c r="D53" s="25" t="n"/>
      <c r="E53" s="24" t="n"/>
      <c r="F53" s="24" t="n"/>
      <c r="G53" s="5" t="n"/>
      <c r="H53" s="24" t="n"/>
    </row>
    <row r="54">
      <c r="A54" s="23" t="n"/>
      <c r="B54" s="24" t="n"/>
      <c r="C54" s="5" t="n"/>
      <c r="D54" s="25" t="n"/>
      <c r="E54" s="24" t="n"/>
      <c r="F54" s="24" t="n"/>
      <c r="G54" s="5" t="n"/>
      <c r="H54" s="24" t="n"/>
    </row>
    <row r="55">
      <c r="A55" s="23" t="n"/>
      <c r="B55" s="24" t="n"/>
      <c r="C55" s="5" t="n"/>
      <c r="D55" s="25" t="n"/>
      <c r="E55" s="24" t="n"/>
      <c r="F55" s="24" t="n"/>
      <c r="G55" s="5" t="n"/>
      <c r="H55" s="24" t="n"/>
    </row>
    <row r="56">
      <c r="A56" s="23" t="n"/>
      <c r="B56" s="24" t="n"/>
      <c r="C56" s="5" t="n"/>
      <c r="D56" s="25" t="n"/>
      <c r="E56" s="24" t="n"/>
      <c r="F56" s="24" t="n"/>
      <c r="G56" s="5" t="n"/>
      <c r="H56" s="24" t="n"/>
    </row>
    <row r="57">
      <c r="A57" s="23" t="n"/>
      <c r="B57" s="24" t="n"/>
      <c r="C57" s="5" t="n"/>
      <c r="D57" s="25" t="n"/>
      <c r="E57" s="24" t="n"/>
      <c r="F57" s="24" t="n"/>
      <c r="G57" s="5" t="n"/>
      <c r="H57" s="24" t="n"/>
    </row>
    <row r="58">
      <c r="A58" s="23" t="n"/>
      <c r="B58" s="24" t="n"/>
      <c r="C58" s="5" t="n"/>
      <c r="D58" s="25" t="n"/>
      <c r="E58" s="24" t="n"/>
      <c r="F58" s="24" t="n"/>
      <c r="G58" s="5" t="n"/>
      <c r="H58" s="24" t="n"/>
    </row>
    <row r="59">
      <c r="A59" s="23" t="n"/>
      <c r="B59" s="24" t="n"/>
      <c r="C59" s="5" t="n"/>
      <c r="D59" s="25" t="n"/>
      <c r="E59" s="24" t="n"/>
      <c r="F59" s="24" t="n"/>
      <c r="G59" s="5" t="n"/>
      <c r="H59" s="24" t="n"/>
    </row>
    <row r="60">
      <c r="A60" s="23" t="n"/>
      <c r="B60" s="24" t="n"/>
      <c r="C60" s="5" t="n"/>
      <c r="D60" s="25" t="n"/>
      <c r="E60" s="24" t="n"/>
      <c r="F60" s="24" t="n"/>
      <c r="G60" s="5" t="n"/>
      <c r="H60" s="24" t="n"/>
    </row>
    <row r="61">
      <c r="A61" s="23" t="n"/>
      <c r="B61" s="24" t="n"/>
      <c r="C61" s="5" t="n"/>
      <c r="D61" s="25" t="n"/>
      <c r="E61" s="24" t="n"/>
      <c r="F61" s="24" t="n"/>
      <c r="G61" s="5" t="n"/>
      <c r="H61" s="24" t="n"/>
    </row>
    <row r="62">
      <c r="A62" s="23" t="n"/>
      <c r="B62" s="24" t="n"/>
      <c r="C62" s="5" t="n"/>
      <c r="D62" s="25" t="n"/>
      <c r="E62" s="24" t="n"/>
      <c r="F62" s="24" t="n"/>
      <c r="G62" s="5" t="n"/>
      <c r="H62" s="24" t="n"/>
    </row>
    <row r="63">
      <c r="A63" s="23" t="n"/>
      <c r="B63" s="24" t="n"/>
      <c r="C63" s="5" t="n"/>
      <c r="D63" s="25" t="n"/>
      <c r="E63" s="24" t="n"/>
      <c r="F63" s="24" t="n"/>
      <c r="G63" s="5" t="n"/>
      <c r="H63" s="24" t="n"/>
    </row>
    <row r="64">
      <c r="A64" s="23" t="n"/>
      <c r="B64" s="24" t="n"/>
      <c r="C64" s="5" t="n"/>
      <c r="D64" s="25" t="n"/>
      <c r="E64" s="24" t="n"/>
      <c r="F64" s="24" t="n"/>
      <c r="G64" s="5" t="n"/>
      <c r="H64" s="24" t="n"/>
    </row>
    <row r="65">
      <c r="A65" s="23" t="n"/>
      <c r="B65" s="24" t="n"/>
      <c r="C65" s="5" t="n"/>
      <c r="D65" s="25" t="n"/>
      <c r="E65" s="24" t="n"/>
      <c r="F65" s="24" t="n"/>
      <c r="G65" s="5" t="n"/>
      <c r="H65" s="24" t="n"/>
    </row>
    <row r="66">
      <c r="A66" s="23" t="n"/>
      <c r="B66" s="24" t="n"/>
      <c r="C66" s="5" t="n"/>
      <c r="D66" s="25" t="n"/>
      <c r="E66" s="24" t="n"/>
      <c r="F66" s="24" t="n"/>
      <c r="G66" s="5" t="n"/>
      <c r="H66" s="24" t="n"/>
    </row>
    <row r="67">
      <c r="A67" s="23" t="n"/>
      <c r="B67" s="24" t="n"/>
      <c r="C67" s="5" t="n"/>
      <c r="D67" s="25" t="n"/>
      <c r="E67" s="24" t="n"/>
      <c r="F67" s="24" t="n"/>
      <c r="G67" s="5" t="n"/>
      <c r="H67" s="24" t="n"/>
    </row>
    <row r="68">
      <c r="A68" s="23" t="n"/>
      <c r="B68" s="24" t="n"/>
      <c r="C68" s="5" t="n"/>
      <c r="D68" s="25" t="n"/>
      <c r="E68" s="24" t="n"/>
      <c r="F68" s="24" t="n"/>
      <c r="G68" s="5" t="n"/>
      <c r="H68" s="24" t="n"/>
    </row>
    <row r="69">
      <c r="A69" s="23" t="n"/>
      <c r="B69" s="24" t="n"/>
      <c r="C69" s="5" t="n"/>
      <c r="D69" s="25" t="n"/>
      <c r="E69" s="24" t="n"/>
      <c r="F69" s="24" t="n"/>
      <c r="G69" s="5" t="n"/>
      <c r="H69" s="24" t="n"/>
    </row>
    <row r="70">
      <c r="A70" s="23" t="n"/>
      <c r="B70" s="24" t="n"/>
      <c r="C70" s="5" t="n"/>
      <c r="D70" s="25" t="n"/>
      <c r="E70" s="24" t="n"/>
      <c r="F70" s="24" t="n"/>
      <c r="G70" s="5" t="n"/>
      <c r="H70" s="24" t="n"/>
    </row>
    <row r="71">
      <c r="A71" s="23" t="n"/>
      <c r="B71" s="24" t="n"/>
      <c r="C71" s="5" t="n"/>
      <c r="D71" s="25" t="n"/>
      <c r="E71" s="24" t="n"/>
      <c r="F71" s="24" t="n"/>
      <c r="G71" s="5" t="n"/>
      <c r="H71" s="24" t="n"/>
    </row>
    <row r="72">
      <c r="A72" s="23" t="n"/>
      <c r="B72" s="24" t="n"/>
      <c r="C72" s="5" t="n"/>
      <c r="D72" s="25" t="n"/>
      <c r="E72" s="24" t="n"/>
      <c r="F72" s="24" t="n"/>
      <c r="G72" s="5" t="n"/>
      <c r="H72" s="24" t="n"/>
    </row>
    <row r="73">
      <c r="A73" s="23" t="n"/>
      <c r="B73" s="24" t="n"/>
      <c r="C73" s="5" t="n"/>
      <c r="D73" s="25" t="n"/>
      <c r="E73" s="24" t="n"/>
      <c r="F73" s="24" t="n"/>
      <c r="G73" s="5" t="n"/>
      <c r="H73" s="24" t="n"/>
    </row>
    <row r="74">
      <c r="A74" s="23" t="n"/>
      <c r="B74" s="24" t="n"/>
      <c r="C74" s="5" t="n"/>
      <c r="D74" s="25" t="n"/>
      <c r="E74" s="24" t="n"/>
      <c r="F74" s="24" t="n"/>
      <c r="G74" s="5" t="n"/>
      <c r="H74" s="24" t="n"/>
    </row>
    <row r="75">
      <c r="A75" s="23" t="n"/>
      <c r="B75" s="24" t="n"/>
      <c r="C75" s="5" t="n"/>
      <c r="D75" s="25" t="n"/>
      <c r="E75" s="24" t="n"/>
      <c r="F75" s="24" t="n"/>
      <c r="G75" s="5" t="n"/>
      <c r="H75" s="24" t="n"/>
    </row>
    <row r="76">
      <c r="A76" s="23" t="n"/>
      <c r="B76" s="24" t="n"/>
      <c r="C76" s="5" t="n"/>
      <c r="D76" s="25" t="n"/>
      <c r="E76" s="24" t="n"/>
      <c r="F76" s="24" t="n"/>
      <c r="G76" s="5" t="n"/>
      <c r="H76" s="24" t="n"/>
    </row>
    <row r="77">
      <c r="A77" s="23" t="n"/>
      <c r="B77" s="24" t="n"/>
      <c r="C77" s="5" t="n"/>
      <c r="D77" s="25" t="n"/>
      <c r="E77" s="24" t="n"/>
      <c r="F77" s="24" t="n"/>
      <c r="G77" s="5" t="n"/>
      <c r="H77" s="24" t="n"/>
    </row>
    <row r="78">
      <c r="A78" s="23" t="n"/>
      <c r="B78" s="24" t="n"/>
      <c r="C78" s="5" t="n"/>
      <c r="D78" s="25" t="n"/>
      <c r="E78" s="24" t="n"/>
      <c r="F78" s="24" t="n"/>
      <c r="G78" s="5" t="n"/>
      <c r="H78" s="24" t="n"/>
    </row>
    <row r="79">
      <c r="A79" s="23" t="n"/>
      <c r="B79" s="24" t="n"/>
      <c r="C79" s="5" t="n"/>
      <c r="D79" s="25" t="n"/>
      <c r="E79" s="24" t="n"/>
      <c r="F79" s="24" t="n"/>
      <c r="G79" s="5" t="n"/>
      <c r="H79" s="24" t="n"/>
    </row>
    <row r="80">
      <c r="A80" s="23" t="n"/>
      <c r="B80" s="24" t="n"/>
      <c r="C80" s="5" t="n"/>
      <c r="D80" s="25" t="n"/>
      <c r="E80" s="24" t="n"/>
      <c r="F80" s="24" t="n"/>
      <c r="G80" s="5" t="n"/>
      <c r="H80" s="24" t="n"/>
    </row>
    <row r="81">
      <c r="A81" s="23" t="n"/>
      <c r="B81" s="24" t="n"/>
      <c r="C81" s="5" t="n"/>
      <c r="D81" s="25" t="n"/>
      <c r="E81" s="24" t="n"/>
      <c r="F81" s="24" t="n"/>
      <c r="G81" s="5" t="n"/>
      <c r="H81" s="24" t="n"/>
    </row>
    <row r="82">
      <c r="A82" s="23" t="n"/>
      <c r="B82" s="24" t="n"/>
      <c r="C82" s="5" t="n"/>
      <c r="D82" s="25" t="n"/>
      <c r="E82" s="24" t="n"/>
      <c r="F82" s="24" t="n"/>
      <c r="G82" s="5" t="n"/>
      <c r="H82" s="24" t="n"/>
    </row>
    <row r="83">
      <c r="A83" s="23" t="n"/>
      <c r="B83" s="24" t="n"/>
      <c r="C83" s="5" t="n"/>
      <c r="D83" s="25" t="n"/>
      <c r="E83" s="24" t="n"/>
      <c r="F83" s="24" t="n"/>
      <c r="G83" s="5" t="n"/>
      <c r="H83" s="24" t="n"/>
    </row>
    <row r="84">
      <c r="A84" s="23" t="n"/>
      <c r="B84" s="24" t="n"/>
      <c r="C84" s="5" t="n"/>
      <c r="D84" s="25" t="n"/>
      <c r="E84" s="24" t="n"/>
      <c r="F84" s="24" t="n"/>
      <c r="G84" s="5" t="n"/>
      <c r="H84" s="24" t="n"/>
    </row>
    <row r="85">
      <c r="A85" s="23" t="n"/>
      <c r="B85" s="24" t="n"/>
      <c r="C85" s="5" t="n"/>
      <c r="D85" s="25" t="n"/>
      <c r="E85" s="24" t="n"/>
      <c r="F85" s="24" t="n"/>
      <c r="G85" s="5" t="n"/>
      <c r="H85" s="24" t="n"/>
    </row>
    <row r="86">
      <c r="A86" s="23" t="n"/>
      <c r="B86" s="24" t="n"/>
      <c r="C86" s="5" t="n"/>
      <c r="D86" s="25" t="n"/>
      <c r="E86" s="24" t="n"/>
      <c r="F86" s="24" t="n"/>
      <c r="G86" s="5" t="n"/>
      <c r="H86" s="24" t="n"/>
    </row>
    <row r="87">
      <c r="A87" s="23" t="n"/>
      <c r="B87" s="24" t="n"/>
      <c r="C87" s="5" t="n"/>
      <c r="D87" s="25" t="n"/>
      <c r="E87" s="24" t="n"/>
      <c r="F87" s="24" t="n"/>
      <c r="G87" s="5" t="n"/>
      <c r="H87" s="24" t="n"/>
    </row>
    <row r="88">
      <c r="A88" s="23" t="n"/>
      <c r="B88" s="24" t="n"/>
      <c r="C88" s="5" t="n"/>
      <c r="D88" s="25" t="n"/>
      <c r="E88" s="24" t="n"/>
      <c r="F88" s="24" t="n"/>
      <c r="G88" s="5" t="n"/>
      <c r="H88" s="24" t="n"/>
    </row>
    <row r="89">
      <c r="A89" s="23" t="n"/>
      <c r="B89" s="24" t="n"/>
      <c r="C89" s="5" t="n"/>
      <c r="D89" s="25" t="n"/>
      <c r="E89" s="24" t="n"/>
      <c r="F89" s="24" t="n"/>
      <c r="G89" s="5" t="n"/>
      <c r="H89" s="24" t="n"/>
    </row>
    <row r="90">
      <c r="A90" s="23" t="n"/>
      <c r="B90" s="24" t="n"/>
      <c r="C90" s="5" t="n"/>
      <c r="D90" s="25" t="n"/>
      <c r="E90" s="24" t="n"/>
      <c r="F90" s="24" t="n"/>
      <c r="G90" s="5" t="n"/>
      <c r="H90" s="24" t="n"/>
    </row>
    <row r="91">
      <c r="A91" s="23" t="n"/>
      <c r="B91" s="24" t="n"/>
      <c r="C91" s="5" t="n"/>
      <c r="D91" s="25" t="n"/>
      <c r="E91" s="24" t="n"/>
      <c r="F91" s="24" t="n"/>
      <c r="G91" s="5" t="n"/>
      <c r="H91" s="24" t="n"/>
    </row>
    <row r="92">
      <c r="A92" s="23" t="n"/>
      <c r="B92" s="24" t="n"/>
      <c r="C92" s="5" t="n"/>
      <c r="D92" s="25" t="n"/>
      <c r="E92" s="24" t="n"/>
      <c r="F92" s="24" t="n"/>
      <c r="G92" s="5" t="n"/>
      <c r="H92" s="24" t="n"/>
    </row>
    <row r="93">
      <c r="A93" s="23" t="n"/>
      <c r="B93" s="24" t="n"/>
      <c r="C93" s="5" t="n"/>
      <c r="D93" s="25" t="n"/>
      <c r="E93" s="24" t="n"/>
      <c r="F93" s="24" t="n"/>
      <c r="G93" s="5" t="n"/>
      <c r="H93" s="24" t="n"/>
    </row>
    <row r="94">
      <c r="A94" s="23" t="n"/>
      <c r="B94" s="24" t="n"/>
      <c r="C94" s="5" t="n"/>
      <c r="D94" s="25" t="n"/>
      <c r="E94" s="24" t="n"/>
      <c r="F94" s="24" t="n"/>
      <c r="G94" s="5" t="n"/>
      <c r="H94" s="24" t="n"/>
    </row>
    <row r="95">
      <c r="A95" s="23" t="n"/>
      <c r="B95" s="24" t="n"/>
      <c r="C95" s="5" t="n"/>
      <c r="D95" s="25" t="n"/>
      <c r="E95" s="24" t="n"/>
      <c r="F95" s="24" t="n"/>
      <c r="G95" s="5" t="n"/>
      <c r="H95" s="24" t="n"/>
    </row>
    <row r="96">
      <c r="A96" s="23" t="n"/>
      <c r="B96" s="24" t="n"/>
      <c r="C96" s="5" t="n"/>
      <c r="D96" s="25" t="n"/>
      <c r="E96" s="24" t="n"/>
      <c r="F96" s="24" t="n"/>
      <c r="G96" s="5" t="n"/>
      <c r="H96" s="24" t="n"/>
    </row>
    <row r="97">
      <c r="A97" s="23" t="n"/>
      <c r="B97" s="24" t="n"/>
      <c r="C97" s="5" t="n"/>
      <c r="D97" s="25" t="n"/>
      <c r="E97" s="24" t="n"/>
      <c r="F97" s="24" t="n"/>
      <c r="G97" s="5" t="n"/>
      <c r="H97" s="24" t="n"/>
    </row>
    <row r="98">
      <c r="A98" s="23" t="n"/>
      <c r="B98" s="24" t="n"/>
      <c r="C98" s="5" t="n"/>
      <c r="D98" s="25" t="n"/>
      <c r="E98" s="24" t="n"/>
      <c r="F98" s="24" t="n"/>
      <c r="G98" s="5" t="n"/>
      <c r="H98" s="24" t="n"/>
    </row>
    <row r="99">
      <c r="A99" s="23" t="n"/>
      <c r="B99" s="24" t="n"/>
      <c r="C99" s="5" t="n"/>
      <c r="D99" s="25" t="n"/>
      <c r="E99" s="24" t="n"/>
      <c r="F99" s="24" t="n"/>
      <c r="G99" s="5" t="n"/>
      <c r="H99" s="24" t="n"/>
    </row>
    <row r="100">
      <c r="A100" s="23" t="n"/>
      <c r="B100" s="24" t="n"/>
      <c r="C100" s="5" t="n"/>
      <c r="D100" s="25" t="n"/>
      <c r="E100" s="24" t="n"/>
      <c r="F100" s="24" t="n"/>
      <c r="G100" s="5" t="n"/>
      <c r="H100" s="24" t="n"/>
    </row>
    <row r="101">
      <c r="A101" s="23" t="n"/>
      <c r="B101" s="24" t="n"/>
      <c r="C101" s="5" t="n"/>
      <c r="D101" s="25" t="n"/>
      <c r="E101" s="24" t="n"/>
      <c r="F101" s="24" t="n"/>
      <c r="G101" s="5" t="n"/>
      <c r="H101" s="24" t="n"/>
    </row>
    <row r="102">
      <c r="A102" s="23" t="n"/>
      <c r="B102" s="24" t="n"/>
      <c r="C102" s="5" t="n"/>
      <c r="D102" s="25" t="n"/>
      <c r="E102" s="24" t="n"/>
      <c r="F102" s="24" t="n"/>
      <c r="G102" s="5" t="n"/>
      <c r="H102" s="24" t="n"/>
    </row>
  </sheetData>
  <autoFilter ref="A2:H2"/>
  <mergeCells count="1">
    <mergeCell ref="A1:H1"/>
  </mergeCells>
  <dataValidations count="1">
    <dataValidation sqref="B3:B2002" showDropDown="0" showInputMessage="0" showErrorMessage="0" allowBlank="1" type="list">
      <formula1>"MarketCap,BookEquity,Cash,Debt,NetIncome,DividendYield,BuybackYield,Liquidity,CapitalPolicy,Buyback,Activism,Other"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2026-01-26T01:11:46Z</dcterms:created>
  <dcterms:modified xmlns:dcterms="http://purl.org/dc/terms/" xmlns:xsi="http://www.w3.org/2001/XMLSchema-instance" xsi:type="dcterms:W3CDTF">2026-01-26T01:11:47Z</dcterms:modified>
</cp:coreProperties>
</file>